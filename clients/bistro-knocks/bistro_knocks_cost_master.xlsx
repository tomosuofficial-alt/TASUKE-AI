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食材マスタ" sheetId="2" state="visible" r:id="rId2"/>
    <sheet name="飲料マスタ" sheetId="3" state="visible" r:id="rId3"/>
    <sheet name="サイドマスタ" sheetId="4" state="visible" r:id="rId4"/>
    <sheet name="資材マスタ" sheetId="5" state="visible" r:id="rId5"/>
    <sheet name="レシピ材料マスタ" sheetId="6" state="visible" r:id="rId6"/>
    <sheet name="ソースレシピマスタ" sheetId="7" state="visible" r:id="rId7"/>
    <sheet name="ソース定義マスタ" sheetId="8" state="visible" r:id="rId8"/>
    <sheet name="メニューマスタ" sheetId="9" state="visible" r:id="rId9"/>
    <sheet name="サマリー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-"/>
    <numFmt numFmtId="165" formatCode="#,##0.0000;(#,##0.0000);-"/>
    <numFmt numFmtId="166" formatCode="#,##0.00;(#,##0.00);-"/>
    <numFmt numFmtId="167" formatCode="0.0%"/>
    <numFmt numFmtId="168" formatCode="¥#,##0;(¥#,##0);-"/>
  </numFmts>
  <fonts count="6">
    <font>
      <name val="Calibri"/>
      <family val="2"/>
      <color theme="1"/>
      <sz val="11"/>
      <scheme val="minor"/>
    </font>
    <font>
      <name val="Hiragino Sans"/>
      <b val="1"/>
      <color rgb="00FFFFFF"/>
      <sz val="11"/>
    </font>
    <font>
      <name val="Hiragino Sans"/>
      <b val="1"/>
    </font>
    <font>
      <name val="Hiragino Sans"/>
      <b val="1"/>
      <color rgb="002C3E50"/>
      <sz val="20"/>
    </font>
    <font>
      <name val="Hiragino Sans"/>
      <sz val="11"/>
    </font>
    <font>
      <name val="Hiragino Sans"/>
      <b val="1"/>
      <color rgb="00B8860B"/>
      <sz val="12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8E1"/>
      </patternFill>
    </fill>
    <fill>
      <patternFill patternType="solid">
        <fgColor rgb="00FAE6B0"/>
      </patternFill>
    </fill>
    <fill>
      <patternFill patternType="solid">
        <fgColor rgb="00EFEBE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  <border>
      <bottom style="medium">
        <color rgb="00B8860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5" fillId="0" borderId="0" pivotButton="0" quotePrefix="0" xfId="0"/>
    <xf numFmtId="0" fontId="0" fillId="3" borderId="1" applyAlignment="1" pivotButton="0" quotePrefix="0" xfId="0">
      <alignment horizontal="center"/>
    </xf>
    <xf numFmtId="0" fontId="4" fillId="0" borderId="0" pivotButton="0" quotePrefix="0" xfId="0"/>
    <xf numFmtId="0" fontId="0" fillId="6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5" fillId="5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1"/>
    </xf>
    <xf numFmtId="0" fontId="1" fillId="2" borderId="0" applyAlignment="1" pivotButton="0" quotePrefix="0" xfId="0">
      <alignment horizontal="center" wrapText="1"/>
    </xf>
    <xf numFmtId="164" fontId="0" fillId="3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165" fontId="0" fillId="3" borderId="0" pivotButton="0" quotePrefix="0" xfId="0"/>
    <xf numFmtId="166" fontId="0" fillId="3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2" fillId="4" borderId="1" pivotButton="0" quotePrefix="0" xfId="0"/>
    <xf numFmtId="167" fontId="0" fillId="0" borderId="1" pivotButton="0" quotePrefix="0" xfId="0"/>
    <xf numFmtId="0" fontId="3" fillId="0" borderId="2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/>
    </xf>
    <xf numFmtId="0" fontId="4" fillId="0" borderId="1" pivotButton="0" quotePrefix="0" xfId="0"/>
    <xf numFmtId="168" fontId="0" fillId="0" borderId="1" applyAlignment="1" pivotButton="0" quotePrefix="0" xfId="0">
      <alignment horizontal="right"/>
    </xf>
    <xf numFmtId="0" fontId="4" fillId="5" borderId="1" pivotButton="0" quotePrefix="0" xfId="0"/>
    <xf numFmtId="168" fontId="0" fillId="5" borderId="1" applyAlignment="1" pivotButton="0" quotePrefix="0" xfId="0">
      <alignment horizontal="right"/>
    </xf>
    <xf numFmtId="167" fontId="0" fillId="5" borderId="1" applyAlignment="1" pivotButton="0" quotePrefix="0" xfId="0">
      <alignment horizontal="right"/>
    </xf>
    <xf numFmtId="167" fontId="0" fillId="0" borderId="1" applyAlignment="1" pivotButton="0" quotePrefix="0" xfId="0">
      <alignment horizontal="right"/>
    </xf>
  </cellXfs>
  <cellStyles count="1">
    <cellStyle name="Normal" xfId="0" builtinId="0" hidden="0"/>
  </cellStyles>
  <dxfs count="3">
    <dxf>
      <font>
        <name val="Hiragino Sans"/>
        <b val="1"/>
        <color rgb="009C0006"/>
      </font>
      <fill>
        <patternFill patternType="solid">
          <fgColor rgb="00FFC7CE"/>
        </patternFill>
      </fill>
    </dxf>
    <dxf>
      <font>
        <name val="Hiragino Sans"/>
        <b val="1"/>
        <color rgb="009C5700"/>
      </font>
      <fill>
        <patternFill patternType="solid">
          <fgColor rgb="00FFEB9C"/>
        </patternFill>
      </fill>
    </dxf>
    <dxf>
      <font>
        <name val="Hiragino Sans"/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80" customWidth="1" min="3" max="3"/>
  </cols>
  <sheetData>
    <row r="1" ht="42" customHeight="1">
      <c r="A1" s="1" t="inlineStr">
        <is>
          <t>Bistro Knocks  原価管理シート</t>
        </is>
      </c>
    </row>
    <row r="2" ht="22" customHeight="1">
      <c r="A2" s="2" t="inlineStr">
        <is>
          <t>Cost Master — 業者単価を入れるだけで全メニューの原価率／利益率が自動算出</t>
        </is>
      </c>
      <c r="B2" s="3" t="n"/>
      <c r="C2" s="3" t="n"/>
    </row>
    <row r="4">
      <c r="A4" s="4" t="inlineStr">
        <is>
          <t>凡例</t>
        </is>
      </c>
    </row>
    <row r="5">
      <c r="B5" s="5" t="inlineStr">
        <is>
          <t xml:space="preserve">  入力欄  </t>
        </is>
      </c>
      <c r="C5" s="6" t="inlineStr">
        <is>
          <t>業者単価などを手入力（薄アイボリー）</t>
        </is>
      </c>
    </row>
    <row r="6">
      <c r="B6" s="7" t="inlineStr">
        <is>
          <t xml:space="preserve">  自動計算  </t>
        </is>
      </c>
      <c r="C6" s="6" t="inlineStr">
        <is>
          <t>関数で算出（白）</t>
        </is>
      </c>
    </row>
    <row r="7">
      <c r="B7" s="8" t="inlineStr">
        <is>
          <t xml:space="preserve">  合計／重要  </t>
        </is>
      </c>
      <c r="C7" s="6" t="inlineStr">
        <is>
          <t>合計原価などの重要セル（淡ゴールド）</t>
        </is>
      </c>
    </row>
    <row r="9">
      <c r="A9" t="inlineStr"/>
    </row>
    <row r="10" ht="22" customHeight="1">
      <c r="A10" s="9" t="inlineStr">
        <is>
          <t>【税の前提】</t>
        </is>
      </c>
    </row>
    <row r="11">
      <c r="A11" s="10" t="inlineStr">
        <is>
          <t>・販売価格は税込で運用、業者からの単価は税抜で入る前提です。</t>
        </is>
      </c>
    </row>
    <row r="12">
      <c r="A12" s="10" t="inlineStr">
        <is>
          <t>・原価率・利益率は飲食業の慣行に合わせ「税抜ベース」で算出します。</t>
        </is>
      </c>
    </row>
    <row r="13">
      <c r="A13" s="10" t="inlineStr">
        <is>
          <t>・販売価格（税抜）= 販売価格（税込）÷ 1.08（軽減税率 / テイクアウト弁当）。</t>
        </is>
      </c>
    </row>
    <row r="14">
      <c r="A14" s="10" t="inlineStr">
        <is>
          <t>・各マスタの単価入力欄は全て『税抜』で入力してください。</t>
        </is>
      </c>
    </row>
    <row r="15">
      <c r="A15" s="10" t="inlineStr">
        <is>
          <t>・食材の使用量は『掃除前重量』（業者単価と同じベース）で記載。歩留まりは別途反映しません。</t>
        </is>
      </c>
    </row>
    <row r="16">
      <c r="A16" t="inlineStr"/>
    </row>
    <row r="17" ht="22" customHeight="1">
      <c r="A17" s="9" t="inlineStr">
        <is>
          <t>【使い方】</t>
        </is>
      </c>
    </row>
    <row r="18">
      <c r="A18" s="10" t="inlineStr">
        <is>
          <t>1. 業者から単価が届いたら、以下の薄黄色セルに入力してください：</t>
        </is>
      </c>
    </row>
    <row r="19">
      <c r="A19" s="10" t="inlineStr">
        <is>
          <t xml:space="preserve">   ・食材マスタ シート C列＝仕入単価（税込）、D列＝仕入単位量（例: 100g単位なら 100）</t>
        </is>
      </c>
    </row>
    <row r="20">
      <c r="A20" s="10" t="inlineStr">
        <is>
          <t xml:space="preserve">     →E列「税込/単位」と F列「税抜/単位」が自動計算され、原価計算ではF列が使われます。</t>
        </is>
      </c>
    </row>
    <row r="21">
      <c r="A21" s="10" t="inlineStr">
        <is>
          <t xml:space="preserve">   ・飲料マスタ シート D列（pet_free / pet / pack の3件）</t>
        </is>
      </c>
    </row>
    <row r="22">
      <c r="A22" s="10" t="inlineStr">
        <is>
          <t xml:space="preserve">   ・サイドマスタ シート C列（7品目: ピクルス・ポテト・卵・ご飯・かぼちゃ・小エビ・有頭エビ）</t>
        </is>
      </c>
    </row>
    <row r="23">
      <c r="A23" s="10" t="inlineStr">
        <is>
          <t xml:space="preserve">   ・資材マスタ シート C列（9品目: 容器・蓋（黒/新別）・箸・ワサガード・帯・シーザードレッシング・おしぼり）</t>
        </is>
      </c>
    </row>
    <row r="24">
      <c r="A24" s="10" t="inlineStr">
        <is>
          <t xml:space="preserve">   ・レシピ材料マスタ シート C〜D列（ソース材料の仕入単価（税込）・仕入単位量）</t>
        </is>
      </c>
    </row>
    <row r="25">
      <c r="A25" s="10" t="inlineStr">
        <is>
          <t xml:space="preserve">   ・ソースレシピマスタ シート（レシピ既入力。材料変更時のみ編集）</t>
        </is>
      </c>
    </row>
    <row r="26">
      <c r="A26" s="10" t="inlineStr">
        <is>
          <t xml:space="preserve">   ・ソース定義マスタ シート C列（任意・出来上がり量の上書き。空ならレシピ合計）</t>
        </is>
      </c>
    </row>
    <row r="27">
      <c r="A27" s="10" t="inlineStr">
        <is>
          <t xml:space="preserve">   ・メニューマスタ シート Q列（ソース名）・R列（1食あたり使用量cc）／ハーフはS,T列に2本目</t>
        </is>
      </c>
    </row>
    <row r="28">
      <c r="A28" s="10" t="inlineStr">
        <is>
          <t>2. 入力すると メニューマスタ の「合計原価／原価率／利益率」が自動計算されます。</t>
        </is>
      </c>
    </row>
    <row r="29">
      <c r="A29" s="10" t="inlineStr">
        <is>
          <t>3. サマリー シートに分類別の平均値が出ます。</t>
        </is>
      </c>
    </row>
    <row r="30">
      <c r="A30" t="inlineStr"/>
    </row>
    <row r="31" ht="22" customHeight="1">
      <c r="A31" s="9" t="inlineStr">
        <is>
          <t>【シート構成】</t>
        </is>
      </c>
    </row>
    <row r="32">
      <c r="A32" s="10" t="inlineStr">
        <is>
          <t>・食材マスタ：主食材16品目の単価</t>
        </is>
      </c>
    </row>
    <row r="33">
      <c r="A33" s="10" t="inlineStr">
        <is>
          <t>・飲料マスタ：飲料4種（noneは0固定）</t>
        </is>
      </c>
    </row>
    <row r="34">
      <c r="A34" s="10" t="inlineStr">
        <is>
          <t>・サイドマスタ：1食あたりの固定原価（サイド7品）</t>
        </is>
      </c>
    </row>
    <row r="35">
      <c r="A35" s="10" t="inlineStr">
        <is>
          <t>・資材マスタ：包装・容器など資材9品（黒弁当/新弁当でサイズ別あり）</t>
        </is>
      </c>
    </row>
    <row r="36">
      <c r="A36" s="10" t="inlineStr">
        <is>
          <t>・レシピ材料マスタ：ソース・ピクルスのサブ材料（味醂・醤油・きのこ等）の業者単価</t>
        </is>
      </c>
    </row>
    <row r="37">
      <c r="A37" s="10" t="inlineStr">
        <is>
          <t>・ソースレシピマスタ：各ソースのバッチレシピ（1行=ソース×材料）。材料費・出来上がり量を自動計算</t>
        </is>
      </c>
    </row>
    <row r="38">
      <c r="A38" s="10" t="inlineStr">
        <is>
          <t>・ソース定義マスタ：ソースごとのバッチ材料費合計・出来上がり量・単位原価（円/cc）</t>
        </is>
      </c>
    </row>
    <row r="39">
      <c r="A39" s="10" t="inlineStr">
        <is>
          <t>・メニューマスタ：25メニューの原価計算（関数） / Q〜T列にメニュー別ソースを指定</t>
        </is>
      </c>
    </row>
    <row r="40">
      <c r="A40" s="10" t="inlineStr">
        <is>
          <t>・サマリー：分類別の平均販売価格・原価・原価率・利益率</t>
        </is>
      </c>
    </row>
    <row r="41">
      <c r="A41" t="inlineStr"/>
    </row>
    <row r="42" ht="22" customHeight="1">
      <c r="A42" s="9" t="inlineStr">
        <is>
          <t>【サイド付与ルール】</t>
        </is>
      </c>
    </row>
    <row r="43">
      <c r="A43" s="10" t="inlineStr">
        <is>
          <t>・黒弁当(ID 1-12): ピクルス・ポテト・卵・かぼちゃ 全付与。ご飯はID 9(低糖質)以外。小エビは魚系(ID 7,8)以外。有頭エビは鯛(7)・サーモン(8)のみ。</t>
        </is>
      </c>
    </row>
    <row r="44">
      <c r="A44" s="10" t="inlineStr">
        <is>
          <t>・新弁当(ID 13-25): ピクルス・ポテト・卵・ご飯 全付与。有頭エビは鯛(19)・サーモン(20)・カジキ赤魚(24)のみ。</t>
        </is>
      </c>
    </row>
    <row r="45">
      <c r="A45" s="10" t="inlineStr">
        <is>
          <t>・付与有無は メニューマスタ の I〜O列 (1=付与, 0=なし) で個別に調整できます。</t>
        </is>
      </c>
    </row>
    <row r="46">
      <c r="A46" t="inlineStr"/>
    </row>
    <row r="47">
      <c r="A47" s="10" t="inlineStr">
        <is>
          <t>薄黄色＝業者単価待ちの入力セル</t>
        </is>
      </c>
    </row>
  </sheetData>
  <mergeCells count="36">
    <mergeCell ref="A25:C25"/>
    <mergeCell ref="A37:C37"/>
    <mergeCell ref="A18:C18"/>
    <mergeCell ref="A27:C27"/>
    <mergeCell ref="A21:C21"/>
    <mergeCell ref="A12:C12"/>
    <mergeCell ref="A26:C26"/>
    <mergeCell ref="A2:C2"/>
    <mergeCell ref="A42:C42"/>
    <mergeCell ref="A33:C33"/>
    <mergeCell ref="A47:C47"/>
    <mergeCell ref="A23:C23"/>
    <mergeCell ref="A32:C32"/>
    <mergeCell ref="A14:C14"/>
    <mergeCell ref="A22:C22"/>
    <mergeCell ref="A17:C17"/>
    <mergeCell ref="A29:C29"/>
    <mergeCell ref="A35:C35"/>
    <mergeCell ref="A20:C20"/>
    <mergeCell ref="A38:C38"/>
    <mergeCell ref="A43:C43"/>
    <mergeCell ref="A10:C10"/>
    <mergeCell ref="A28:C28"/>
    <mergeCell ref="A13:C13"/>
    <mergeCell ref="A19:C19"/>
    <mergeCell ref="A44:C44"/>
    <mergeCell ref="A31:C31"/>
    <mergeCell ref="A40:C40"/>
    <mergeCell ref="A39:C39"/>
    <mergeCell ref="A34:C34"/>
    <mergeCell ref="A15:C15"/>
    <mergeCell ref="A24:C24"/>
    <mergeCell ref="A36:C36"/>
    <mergeCell ref="A11:C11"/>
    <mergeCell ref="A1:C1"/>
    <mergeCell ref="A45:C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9CCE3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2" customWidth="1" min="4" max="4"/>
    <col width="22" customWidth="1" min="5" max="5"/>
    <col width="22" customWidth="1" min="6" max="6"/>
    <col width="38" customWidth="1" min="7" max="7"/>
  </cols>
  <sheetData>
    <row r="1">
      <c r="A1" s="11" t="inlineStr">
        <is>
          <t>食材名</t>
        </is>
      </c>
      <c r="B1" s="11" t="inlineStr">
        <is>
          <t>使用単位</t>
        </is>
      </c>
      <c r="C1" s="11" t="inlineStr">
        <is>
          <t>仕入単価（税込・円）</t>
        </is>
      </c>
      <c r="D1" s="11" t="inlineStr">
        <is>
          <t>仕入単位量</t>
        </is>
      </c>
      <c r="E1" s="11" t="inlineStr">
        <is>
          <t>税込単位単価（円/使用単位）</t>
        </is>
      </c>
      <c r="F1" s="11" t="inlineStr">
        <is>
          <t>税抜単位単価（円/使用単位）</t>
        </is>
      </c>
      <c r="G1" s="11" t="inlineStr">
        <is>
          <t>備考</t>
        </is>
      </c>
    </row>
    <row r="2">
      <c r="A2" t="inlineStr">
        <is>
          <t>150gバーグ</t>
        </is>
      </c>
      <c r="B2" t="inlineStr">
        <is>
          <t>個</t>
        </is>
      </c>
      <c r="C2" s="12" t="n">
        <v>453.6</v>
      </c>
      <c r="D2" s="12" t="n">
        <v>1</v>
      </c>
      <c r="E2" s="13">
        <f>IFERROR(C2/D2,0)</f>
        <v/>
      </c>
      <c r="F2" s="13">
        <f>IFERROR(E2/1.08,0)</f>
        <v/>
      </c>
      <c r="G2" t="inlineStr">
        <is>
          <t>赤城牛ハンバーグ150g / 税抜420円/枚（レーベン 2026-05-01）</t>
        </is>
      </c>
    </row>
    <row r="3">
      <c r="A3" t="inlineStr">
        <is>
          <t>120gバーグ</t>
        </is>
      </c>
      <c r="B3" t="inlineStr">
        <is>
          <t>個</t>
        </is>
      </c>
      <c r="C3" s="12" t="n">
        <v>243</v>
      </c>
      <c r="D3" s="12" t="n">
        <v>1</v>
      </c>
      <c r="E3" s="13">
        <f>IFERROR(C3/D3,0)</f>
        <v/>
      </c>
      <c r="F3" s="13">
        <f>IFERROR(E3/1.08,0)</f>
        <v/>
      </c>
      <c r="G3" t="inlineStr">
        <is>
          <t>ハンバーグ120g / 税抜225円/枚（レーベン 2026-05-08/12）</t>
        </is>
      </c>
    </row>
    <row r="4">
      <c r="A4" t="inlineStr">
        <is>
          <t>ハラミ</t>
        </is>
      </c>
      <c r="B4" t="inlineStr">
        <is>
          <t>g</t>
        </is>
      </c>
      <c r="C4" s="12" t="n"/>
      <c r="D4" s="12" t="n"/>
      <c r="E4" s="13">
        <f>IFERROR(C4/D4,0)</f>
        <v/>
      </c>
      <c r="F4" s="13">
        <f>IFERROR(E4/1.08,0)</f>
        <v/>
      </c>
      <c r="G4" t="inlineStr">
        <is>
          <t>最も使用頻度が高い</t>
        </is>
      </c>
    </row>
    <row r="5">
      <c r="A5" t="inlineStr">
        <is>
          <t>ロービー</t>
        </is>
      </c>
      <c r="B5" t="inlineStr">
        <is>
          <t>g</t>
        </is>
      </c>
      <c r="C5" s="12" t="n"/>
      <c r="D5" s="12" t="n"/>
      <c r="E5" s="13">
        <f>IFERROR(C5/D5,0)</f>
        <v/>
      </c>
      <c r="F5" s="13">
        <f>IFERROR(E5/1.08,0)</f>
        <v/>
      </c>
      <c r="G5" t="inlineStr">
        <is>
          <t>複数メニューで使用</t>
        </is>
      </c>
    </row>
    <row r="6">
      <c r="A6" t="inlineStr">
        <is>
          <t>ミスジ</t>
        </is>
      </c>
      <c r="B6" t="inlineStr">
        <is>
          <t>g</t>
        </is>
      </c>
      <c r="C6" s="12" t="n"/>
      <c r="D6" s="12" t="n"/>
      <c r="E6" s="13">
        <f>IFERROR(C6/D6,0)</f>
        <v/>
      </c>
      <c r="F6" s="13">
        <f>IFERROR(E6/1.08,0)</f>
        <v/>
      </c>
      <c r="G6" t="inlineStr">
        <is>
          <t>高級メニューで使用</t>
        </is>
      </c>
    </row>
    <row r="7">
      <c r="A7" t="inlineStr">
        <is>
          <t>イベリコ</t>
        </is>
      </c>
      <c r="B7" t="inlineStr">
        <is>
          <t>g</t>
        </is>
      </c>
      <c r="C7" s="12" t="n"/>
      <c r="D7" s="12" t="n"/>
      <c r="E7" s="13">
        <f>IFERROR(C7/D7,0)</f>
        <v/>
      </c>
      <c r="F7" s="13">
        <f>IFERROR(E7/1.08,0)</f>
        <v/>
      </c>
      <c r="G7" t="inlineStr">
        <is>
          <t>プレミアムメニュー</t>
        </is>
      </c>
    </row>
    <row r="8">
      <c r="A8" t="inlineStr">
        <is>
          <t>厳選和牛</t>
        </is>
      </c>
      <c r="B8" t="inlineStr">
        <is>
          <t>g</t>
        </is>
      </c>
      <c r="C8" s="12" t="n"/>
      <c r="D8" s="12" t="n"/>
      <c r="E8" s="13">
        <f>IFERROR(C8/D8,0)</f>
        <v/>
      </c>
      <c r="F8" s="13">
        <f>IFERROR(E8/1.08,0)</f>
        <v/>
      </c>
      <c r="G8" t="inlineStr">
        <is>
          <t>最高級メニュー</t>
        </is>
      </c>
    </row>
    <row r="9">
      <c r="A9" t="inlineStr">
        <is>
          <t>豚ヒレ</t>
        </is>
      </c>
      <c r="B9" t="inlineStr">
        <is>
          <t>g</t>
        </is>
      </c>
      <c r="C9" s="12" t="n">
        <v>117</v>
      </c>
      <c r="D9" s="12" t="n">
        <v>100</v>
      </c>
      <c r="E9" s="13">
        <f>IFERROR(C9/D9,0)</f>
        <v/>
      </c>
      <c r="F9" s="13">
        <f>IFERROR(E9/1.08,0)</f>
        <v/>
      </c>
      <c r="G9" t="inlineStr">
        <is>
          <t>新弁当で使用 / 117円/100g税込・掃除前（2026-05-19入手）</t>
        </is>
      </c>
    </row>
    <row r="10">
      <c r="A10" t="inlineStr">
        <is>
          <t>豚ロース</t>
        </is>
      </c>
      <c r="B10" t="inlineStr">
        <is>
          <t>g</t>
        </is>
      </c>
      <c r="C10" s="12" t="n">
        <v>98</v>
      </c>
      <c r="D10" s="12" t="n">
        <v>100</v>
      </c>
      <c r="E10" s="13">
        <f>IFERROR(C10/D10,0)</f>
        <v/>
      </c>
      <c r="F10" s="13">
        <f>IFERROR(E10/1.08,0)</f>
        <v/>
      </c>
      <c r="G10" t="inlineStr">
        <is>
          <t>新弁当で使用 / 98円/100g税込・掃除前（2026-05-19入手）</t>
        </is>
      </c>
    </row>
    <row r="11">
      <c r="A11" t="inlineStr">
        <is>
          <t>とりむね</t>
        </is>
      </c>
      <c r="B11" t="inlineStr">
        <is>
          <t>g</t>
        </is>
      </c>
      <c r="C11" s="12" t="n"/>
      <c r="D11" s="12" t="n"/>
      <c r="E11" s="13">
        <f>IFERROR(C11/D11,0)</f>
        <v/>
      </c>
      <c r="F11" s="13">
        <f>IFERROR(E11/1.08,0)</f>
        <v/>
      </c>
      <c r="G11" t="inlineStr">
        <is>
          <t>新弁当で使用</t>
        </is>
      </c>
    </row>
    <row r="12">
      <c r="A12" t="inlineStr">
        <is>
          <t>鯛</t>
        </is>
      </c>
      <c r="B12" t="inlineStr">
        <is>
          <t>カット</t>
        </is>
      </c>
      <c r="C12" s="12" t="n"/>
      <c r="D12" s="12" t="n"/>
      <c r="E12" s="13">
        <f>IFERROR(C12/D12,0)</f>
        <v/>
      </c>
      <c r="F12" s="13">
        <f>IFERROR(E12/1.08,0)</f>
        <v/>
      </c>
      <c r="G12" t="inlineStr">
        <is>
          <t>黒弁当・新弁当で使用</t>
        </is>
      </c>
    </row>
    <row r="13">
      <c r="A13" t="inlineStr">
        <is>
          <t>サーモン</t>
        </is>
      </c>
      <c r="B13" t="inlineStr">
        <is>
          <t>カット</t>
        </is>
      </c>
      <c r="C13" s="12" t="n"/>
      <c r="D13" s="12" t="n"/>
      <c r="E13" s="13">
        <f>IFERROR(C13/D13,0)</f>
        <v/>
      </c>
      <c r="F13" s="13">
        <f>IFERROR(E13/1.08,0)</f>
        <v/>
      </c>
      <c r="G13" t="inlineStr">
        <is>
          <t>黒弁当・新弁当で使用</t>
        </is>
      </c>
    </row>
    <row r="14">
      <c r="A14" t="inlineStr">
        <is>
          <t>カジキ</t>
        </is>
      </c>
      <c r="B14" t="inlineStr">
        <is>
          <t>g</t>
        </is>
      </c>
      <c r="C14" s="12" t="n"/>
      <c r="D14" s="12" t="n"/>
      <c r="E14" s="13">
        <f>IFERROR(C14/D14,0)</f>
        <v/>
      </c>
      <c r="F14" s="13">
        <f>IFERROR(E14/1.08,0)</f>
        <v/>
      </c>
      <c r="G14" t="inlineStr">
        <is>
          <t>新弁当で使用</t>
        </is>
      </c>
    </row>
    <row r="15">
      <c r="A15" t="inlineStr">
        <is>
          <t>赤魚</t>
        </is>
      </c>
      <c r="B15" t="inlineStr">
        <is>
          <t>g</t>
        </is>
      </c>
      <c r="C15" s="12" t="n"/>
      <c r="D15" s="12" t="n"/>
      <c r="E15" s="13">
        <f>IFERROR(C15/D15,0)</f>
        <v/>
      </c>
      <c r="F15" s="13">
        <f>IFERROR(E15/1.08,0)</f>
        <v/>
      </c>
      <c r="G15" t="inlineStr">
        <is>
          <t>新弁当で使用</t>
        </is>
      </c>
    </row>
    <row r="16">
      <c r="A16" t="inlineStr">
        <is>
          <t>大豆バーグ</t>
        </is>
      </c>
      <c r="B16" t="inlineStr">
        <is>
          <t>個</t>
        </is>
      </c>
      <c r="C16" s="12" t="n"/>
      <c r="D16" s="12" t="n"/>
      <c r="E16" s="13">
        <f>IFERROR(C16/D16,0)</f>
        <v/>
      </c>
      <c r="F16" s="13">
        <f>IFERROR(E16/1.08,0)</f>
        <v/>
      </c>
      <c r="G16" t="inlineStr">
        <is>
          <t>低糖質弁当</t>
        </is>
      </c>
    </row>
    <row r="17">
      <c r="A17" t="inlineStr">
        <is>
          <t>豆腐</t>
        </is>
      </c>
      <c r="B17" t="inlineStr">
        <is>
          <t>丁</t>
        </is>
      </c>
      <c r="C17" s="12" t="n"/>
      <c r="D17" s="12" t="n"/>
      <c r="E17" s="13">
        <f>IFERROR(C17/D17,0)</f>
        <v/>
      </c>
      <c r="F17" s="13">
        <f>IFERROR(E17/1.08,0)</f>
        <v/>
      </c>
      <c r="G17" t="inlineStr">
        <is>
          <t>低糖質弁当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CCE3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4" customWidth="1" min="4" max="4"/>
    <col width="32" customWidth="1" min="5" max="5"/>
  </cols>
  <sheetData>
    <row r="1">
      <c r="A1" s="14" t="inlineStr">
        <is>
          <t>飲料ID</t>
        </is>
      </c>
      <c r="B1" s="14" t="inlineStr">
        <is>
          <t>飲料名</t>
        </is>
      </c>
      <c r="C1" s="14" t="inlineStr">
        <is>
          <t>販売価格（税込・円）</t>
        </is>
      </c>
      <c r="D1" s="14" t="inlineStr">
        <is>
          <t>税抜原価（円）</t>
        </is>
      </c>
      <c r="E1" s="14" t="inlineStr">
        <is>
          <t>備考</t>
        </is>
      </c>
    </row>
    <row r="2">
      <c r="A2" t="inlineStr">
        <is>
          <t>none</t>
        </is>
      </c>
      <c r="B2" t="inlineStr">
        <is>
          <t>無し</t>
        </is>
      </c>
      <c r="C2" t="n">
        <v>0</v>
      </c>
      <c r="D2" t="n">
        <v>0</v>
      </c>
      <c r="E2" t="inlineStr">
        <is>
          <t>飲料なし</t>
        </is>
      </c>
    </row>
    <row r="3">
      <c r="A3" t="inlineStr">
        <is>
          <t>pet_free</t>
        </is>
      </c>
      <c r="B3" t="inlineStr">
        <is>
          <t>PET茶（無料）</t>
        </is>
      </c>
      <c r="C3" t="n">
        <v>0</v>
      </c>
      <c r="D3" s="12" t="n"/>
      <c r="E3" t="inlineStr">
        <is>
          <t>2,500円以上の弁当に自動付与</t>
        </is>
      </c>
    </row>
    <row r="4">
      <c r="A4" t="inlineStr">
        <is>
          <t>pet</t>
        </is>
      </c>
      <c r="B4" t="inlineStr">
        <is>
          <t>PET茶 180円</t>
        </is>
      </c>
      <c r="C4" t="n">
        <v>180</v>
      </c>
      <c r="D4" s="12" t="n"/>
      <c r="E4" t="inlineStr">
        <is>
          <t>有料オプション</t>
        </is>
      </c>
    </row>
    <row r="5">
      <c r="A5" t="inlineStr">
        <is>
          <t>pack</t>
        </is>
      </c>
      <c r="B5" t="inlineStr">
        <is>
          <t>紙茶 100円</t>
        </is>
      </c>
      <c r="C5" t="n">
        <v>100</v>
      </c>
      <c r="D5" s="12" t="n"/>
      <c r="E5" t="inlineStr">
        <is>
          <t>有料オプション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9CCE3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0" customWidth="1" min="3" max="3"/>
    <col width="10" customWidth="1" min="4" max="4"/>
    <col width="22" customWidth="1" min="5" max="5"/>
    <col width="38" customWidth="1" min="6" max="6"/>
  </cols>
  <sheetData>
    <row r="1">
      <c r="A1" s="11" t="inlineStr">
        <is>
          <t>サイド名</t>
        </is>
      </c>
      <c r="B1" s="11" t="inlineStr">
        <is>
          <t>単位</t>
        </is>
      </c>
      <c r="C1" s="11" t="inlineStr">
        <is>
          <t>黒弁当量</t>
        </is>
      </c>
      <c r="D1" s="11" t="inlineStr">
        <is>
          <t>新弁当量</t>
        </is>
      </c>
      <c r="E1" s="11" t="inlineStr">
        <is>
          <t>税抜単位単価（円/単位）</t>
        </is>
      </c>
      <c r="F1" s="11" t="inlineStr">
        <is>
          <t>備考</t>
        </is>
      </c>
    </row>
    <row r="2">
      <c r="A2" t="inlineStr">
        <is>
          <t>ピクルス</t>
        </is>
      </c>
      <c r="B2" t="inlineStr">
        <is>
          <t>g</t>
        </is>
      </c>
      <c r="C2" s="15" t="n">
        <v>15</v>
      </c>
      <c r="D2" s="15" t="n">
        <v>15</v>
      </c>
      <c r="E2" s="13">
        <f>IFERROR(VLOOKUP("ピクルス",ソース定義マスタ!$A:$E,5,FALSE),0)</f>
        <v/>
      </c>
      <c r="F2" t="inlineStr">
        <is>
          <t>全メニュー / 自家製レシピ(ソース定義マスタから)</t>
        </is>
      </c>
    </row>
    <row r="3">
      <c r="A3" t="inlineStr">
        <is>
          <t>ポテトサラダ</t>
        </is>
      </c>
      <c r="B3" t="inlineStr">
        <is>
          <t>g</t>
        </is>
      </c>
      <c r="C3" s="15" t="n">
        <v>25</v>
      </c>
      <c r="D3" s="15" t="n">
        <v>25</v>
      </c>
      <c r="E3" s="16" t="n"/>
      <c r="F3" t="inlineStr">
        <is>
          <t>全メニュー / 自家製レシピ未登録</t>
        </is>
      </c>
    </row>
    <row r="4">
      <c r="A4" t="inlineStr">
        <is>
          <t>卵</t>
        </is>
      </c>
      <c r="B4" t="inlineStr">
        <is>
          <t>個</t>
        </is>
      </c>
      <c r="C4" s="15" t="n">
        <v>1</v>
      </c>
      <c r="D4" s="15" t="n">
        <v>1</v>
      </c>
      <c r="E4" s="16" t="n"/>
      <c r="F4" t="inlineStr">
        <is>
          <t>全メニュー / 単価入力</t>
        </is>
      </c>
    </row>
    <row r="5">
      <c r="A5" t="inlineStr">
        <is>
          <t>ご飯</t>
        </is>
      </c>
      <c r="B5" t="inlineStr">
        <is>
          <t>g</t>
        </is>
      </c>
      <c r="C5" s="15" t="n">
        <v>160</v>
      </c>
      <c r="D5" s="15" t="n">
        <v>160</v>
      </c>
      <c r="E5" s="16" t="n"/>
      <c r="F5" t="inlineStr">
        <is>
          <t>ほぼ全メニュー / 単価入力（低糖質はフラグで除外）</t>
        </is>
      </c>
    </row>
    <row r="6">
      <c r="A6" t="inlineStr">
        <is>
          <t>かぼちゃ</t>
        </is>
      </c>
      <c r="B6" t="inlineStr">
        <is>
          <t>g</t>
        </is>
      </c>
      <c r="C6" s="15" t="n"/>
      <c r="D6" s="15" t="n">
        <v>0</v>
      </c>
      <c r="E6" s="16" t="n"/>
      <c r="F6" t="inlineStr">
        <is>
          <t>黒弁当のみ / 単価入力</t>
        </is>
      </c>
    </row>
    <row r="7">
      <c r="A7" t="inlineStr">
        <is>
          <t>小エビ</t>
        </is>
      </c>
      <c r="B7" t="inlineStr">
        <is>
          <t>個</t>
        </is>
      </c>
      <c r="C7" s="15" t="n"/>
      <c r="D7" s="15" t="n">
        <v>0</v>
      </c>
      <c r="E7" s="16" t="n"/>
      <c r="F7" t="inlineStr">
        <is>
          <t>黒弁当の魚系以外 / 単価入力</t>
        </is>
      </c>
    </row>
    <row r="8">
      <c r="A8" t="inlineStr">
        <is>
          <t>有頭エビ</t>
        </is>
      </c>
      <c r="B8" t="inlineStr">
        <is>
          <t>個</t>
        </is>
      </c>
      <c r="C8" s="15" t="n"/>
      <c r="D8" s="15" t="n">
        <v>0</v>
      </c>
      <c r="E8" s="16" t="n"/>
      <c r="F8" t="inlineStr">
        <is>
          <t>魚系メニュー / 単価入力</t>
        </is>
      </c>
    </row>
    <row r="9">
      <c r="A9" t="inlineStr">
        <is>
          <t>サラダベース</t>
        </is>
      </c>
      <c r="B9" t="inlineStr">
        <is>
          <t>g</t>
        </is>
      </c>
      <c r="C9" s="15" t="n">
        <v>35</v>
      </c>
      <c r="D9" s="15" t="n">
        <v>20</v>
      </c>
      <c r="E9" s="13">
        <f>IFERROR(VLOOKUP("サラダベース",ソース定義マスタ!$A:$E,5,FALSE),0)</f>
        <v/>
      </c>
      <c r="F9" t="inlineStr">
        <is>
          <t>全メニュー / 自家製レシピ(ソース定義マスタから)</t>
        </is>
      </c>
    </row>
    <row r="10">
      <c r="A10" t="inlineStr">
        <is>
          <t>ミニトマト</t>
        </is>
      </c>
      <c r="B10" t="inlineStr">
        <is>
          <t>個</t>
        </is>
      </c>
      <c r="C10" s="15" t="n">
        <v>0.5</v>
      </c>
      <c r="D10" s="15" t="n">
        <v>0.5</v>
      </c>
      <c r="E10" s="13">
        <f>IFERROR(VLOOKUP("ミニトマト",レシピ材料マスタ!$A:$F,6,FALSE),0)</f>
        <v/>
      </c>
      <c r="F10" t="inlineStr">
        <is>
          <t>全メニュー / レシピ材料マスタから直接</t>
        </is>
      </c>
    </row>
    <row r="11">
      <c r="A11" t="inlineStr">
        <is>
          <t>蒸し野菜</t>
        </is>
      </c>
      <c r="B11" t="inlineStr">
        <is>
          <t>g</t>
        </is>
      </c>
      <c r="C11" s="15" t="n">
        <v>55</v>
      </c>
      <c r="D11" s="15" t="n">
        <v>35</v>
      </c>
      <c r="E11" s="16" t="n"/>
      <c r="F11" t="inlineStr">
        <is>
          <t>全メニュー / 構成未確定（後でレシピ材料/レシピ化）</t>
        </is>
      </c>
    </row>
    <row r="12">
      <c r="A12" t="inlineStr">
        <is>
          <t>ブロッコリー</t>
        </is>
      </c>
      <c r="B12" t="inlineStr">
        <is>
          <t>g</t>
        </is>
      </c>
      <c r="C12" s="15" t="n">
        <v>6</v>
      </c>
      <c r="D12" s="15" t="n">
        <v>6</v>
      </c>
      <c r="E12" s="13">
        <f>IFERROR(VLOOKUP("ブロッコリー(冷凍)",レシピ材料マスタ!$A:$F,6,FALSE),0)</f>
        <v/>
      </c>
      <c r="F12" t="inlineStr">
        <is>
          <t>全メニュー / ユニフーズ冷凍500g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9CCE3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8" customWidth="1" min="4" max="4"/>
  </cols>
  <sheetData>
    <row r="1">
      <c r="A1" s="14" t="inlineStr">
        <is>
          <t>資材名</t>
        </is>
      </c>
      <c r="B1" s="14" t="inlineStr">
        <is>
          <t>分類</t>
        </is>
      </c>
      <c r="C1" s="14" t="inlineStr">
        <is>
          <t>税抜単価（円／個）</t>
        </is>
      </c>
      <c r="D1" s="14" t="inlineStr">
        <is>
          <t>適用</t>
        </is>
      </c>
    </row>
    <row r="2">
      <c r="A2" t="inlineStr">
        <is>
          <t>容器（黒）</t>
        </is>
      </c>
      <c r="B2" t="inlineStr">
        <is>
          <t>サイズ別</t>
        </is>
      </c>
      <c r="C2" s="12" t="n"/>
      <c r="D2" t="inlineStr">
        <is>
          <t>黒弁当のみ</t>
        </is>
      </c>
    </row>
    <row r="3">
      <c r="A3" t="inlineStr">
        <is>
          <t>容器（新）</t>
        </is>
      </c>
      <c r="B3" t="inlineStr">
        <is>
          <t>サイズ別</t>
        </is>
      </c>
      <c r="C3" s="12" t="n"/>
      <c r="D3" t="inlineStr">
        <is>
          <t>新弁当のみ</t>
        </is>
      </c>
    </row>
    <row r="4">
      <c r="A4" t="inlineStr">
        <is>
          <t>蓋（黒）</t>
        </is>
      </c>
      <c r="B4" t="inlineStr">
        <is>
          <t>サイズ別</t>
        </is>
      </c>
      <c r="C4" s="12" t="n"/>
      <c r="D4" t="inlineStr">
        <is>
          <t>黒弁当のみ</t>
        </is>
      </c>
    </row>
    <row r="5">
      <c r="A5" t="inlineStr">
        <is>
          <t>蓋（新）</t>
        </is>
      </c>
      <c r="B5" t="inlineStr">
        <is>
          <t>サイズ別</t>
        </is>
      </c>
      <c r="C5" s="12" t="n"/>
      <c r="D5" t="inlineStr">
        <is>
          <t>新弁当のみ</t>
        </is>
      </c>
    </row>
    <row r="6">
      <c r="A6" t="inlineStr">
        <is>
          <t>箸</t>
        </is>
      </c>
      <c r="B6" t="inlineStr">
        <is>
          <t>共通</t>
        </is>
      </c>
      <c r="C6" s="12" t="n"/>
      <c r="D6" t="inlineStr">
        <is>
          <t>全メニュー</t>
        </is>
      </c>
    </row>
    <row r="7">
      <c r="A7" t="inlineStr">
        <is>
          <t>ワサガード</t>
        </is>
      </c>
      <c r="B7" t="inlineStr">
        <is>
          <t>共通</t>
        </is>
      </c>
      <c r="C7" s="12" t="n"/>
      <c r="D7" t="inlineStr">
        <is>
          <t>全メニュー</t>
        </is>
      </c>
    </row>
    <row r="8">
      <c r="A8" t="inlineStr">
        <is>
          <t>帯</t>
        </is>
      </c>
      <c r="B8" t="inlineStr">
        <is>
          <t>共通</t>
        </is>
      </c>
      <c r="C8" s="12" t="n"/>
      <c r="D8" t="inlineStr">
        <is>
          <t>全メニュー</t>
        </is>
      </c>
    </row>
    <row r="9">
      <c r="A9" t="inlineStr">
        <is>
          <t>シーザードレッシング</t>
        </is>
      </c>
      <c r="B9" t="inlineStr">
        <is>
          <t>共通</t>
        </is>
      </c>
      <c r="C9" s="12" t="n">
        <v>16.15</v>
      </c>
      <c r="D9" t="inlineStr">
        <is>
          <t>全メニュー / QP 1袋10ml×40袋/箱 税抜646円（トーホー 2026-05-18）</t>
        </is>
      </c>
    </row>
    <row r="10">
      <c r="A10" t="inlineStr">
        <is>
          <t>おしぼり</t>
        </is>
      </c>
      <c r="B10" t="inlineStr">
        <is>
          <t>共通</t>
        </is>
      </c>
      <c r="C10" s="12" t="n"/>
      <c r="D10" t="inlineStr">
        <is>
          <t>全メニュー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9CCE3"/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8" customWidth="1" min="3" max="3"/>
    <col width="12" customWidth="1" min="4" max="4"/>
    <col width="22" customWidth="1" min="5" max="5"/>
    <col width="22" customWidth="1" min="6" max="6"/>
    <col width="30" customWidth="1" min="7" max="7"/>
  </cols>
  <sheetData>
    <row r="1">
      <c r="A1" s="11" t="inlineStr">
        <is>
          <t>材料名</t>
        </is>
      </c>
      <c r="B1" s="11" t="inlineStr">
        <is>
          <t>単位</t>
        </is>
      </c>
      <c r="C1" s="11" t="inlineStr">
        <is>
          <t>仕入単価（税込・円）</t>
        </is>
      </c>
      <c r="D1" s="11" t="inlineStr">
        <is>
          <t>仕入単位量</t>
        </is>
      </c>
      <c r="E1" s="11" t="inlineStr">
        <is>
          <t>税込単位単価（円/単位）</t>
        </is>
      </c>
      <c r="F1" s="11" t="inlineStr">
        <is>
          <t>税抜単位単価（円/単位）</t>
        </is>
      </c>
      <c r="G1" s="11" t="inlineStr">
        <is>
          <t>備考</t>
        </is>
      </c>
    </row>
    <row r="2">
      <c r="A2" t="inlineStr">
        <is>
          <t>味醂</t>
        </is>
      </c>
      <c r="B2" t="inlineStr">
        <is>
          <t>cc</t>
        </is>
      </c>
      <c r="C2" s="12" t="n"/>
      <c r="D2" s="12" t="n"/>
      <c r="E2" s="13">
        <f>IFERROR(C2/D2,0)</f>
        <v/>
      </c>
      <c r="F2" s="13">
        <f>IFERROR(E2/1.08,0)</f>
        <v/>
      </c>
      <c r="G2" t="inlineStr">
        <is>
          <t>ソース1/6で使用</t>
        </is>
      </c>
    </row>
    <row r="3">
      <c r="A3" t="inlineStr">
        <is>
          <t>醤油</t>
        </is>
      </c>
      <c r="B3" t="inlineStr">
        <is>
          <t>cc</t>
        </is>
      </c>
      <c r="C3" s="12" t="n"/>
      <c r="D3" s="12" t="n"/>
      <c r="E3" s="13">
        <f>IFERROR(C3/D3,0)</f>
        <v/>
      </c>
      <c r="F3" s="13">
        <f>IFERROR(E3/1.08,0)</f>
        <v/>
      </c>
      <c r="G3" t="inlineStr">
        <is>
          <t>ソース1/6で使用</t>
        </is>
      </c>
    </row>
    <row r="4">
      <c r="A4" t="inlineStr">
        <is>
          <t>マギーブイヨン</t>
        </is>
      </c>
      <c r="B4" t="inlineStr">
        <is>
          <t>個</t>
        </is>
      </c>
      <c r="C4" s="12" t="n"/>
      <c r="D4" s="12" t="n"/>
      <c r="E4" s="13">
        <f>IFERROR(C4/D4,0)</f>
        <v/>
      </c>
      <c r="F4" s="13">
        <f>IFERROR(E4/1.08,0)</f>
        <v/>
      </c>
      <c r="G4" t="inlineStr">
        <is>
          <t>ソース1で使用</t>
        </is>
      </c>
    </row>
    <row r="5">
      <c r="A5" t="inlineStr">
        <is>
          <t>顆粒だし</t>
        </is>
      </c>
      <c r="B5" t="inlineStr">
        <is>
          <t>g</t>
        </is>
      </c>
      <c r="C5" s="12" t="n"/>
      <c r="D5" s="12" t="n"/>
      <c r="E5" s="13">
        <f>IFERROR(C5/D5,0)</f>
        <v/>
      </c>
      <c r="F5" s="13">
        <f>IFERROR(E5/1.08,0)</f>
        <v/>
      </c>
      <c r="G5" t="inlineStr">
        <is>
          <t>ソース1で使用</t>
        </is>
      </c>
    </row>
    <row r="6">
      <c r="A6" t="inlineStr">
        <is>
          <t>しめじ</t>
        </is>
      </c>
      <c r="B6" t="inlineStr">
        <is>
          <t>pc</t>
        </is>
      </c>
      <c r="C6" s="12" t="n"/>
      <c r="D6" s="12" t="n"/>
      <c r="E6" s="13">
        <f>IFERROR(C6/D6,0)</f>
        <v/>
      </c>
      <c r="F6" s="13">
        <f>IFERROR(E6/1.08,0)</f>
        <v/>
      </c>
      <c r="G6" t="inlineStr">
        <is>
          <t>ソース1で使用（コンカッセ）</t>
        </is>
      </c>
    </row>
    <row r="7">
      <c r="A7" t="inlineStr">
        <is>
          <t>えのき</t>
        </is>
      </c>
      <c r="B7" t="inlineStr">
        <is>
          <t>pc</t>
        </is>
      </c>
      <c r="C7" s="12" t="n"/>
      <c r="D7" s="12" t="n"/>
      <c r="E7" s="13">
        <f>IFERROR(C7/D7,0)</f>
        <v/>
      </c>
      <c r="F7" s="13">
        <f>IFERROR(E7/1.08,0)</f>
        <v/>
      </c>
      <c r="G7" t="inlineStr">
        <is>
          <t>ソース1で使用（コンカッセ）</t>
        </is>
      </c>
    </row>
    <row r="8">
      <c r="A8" t="inlineStr">
        <is>
          <t>エリンギ</t>
        </is>
      </c>
      <c r="B8" t="inlineStr">
        <is>
          <t>pc</t>
        </is>
      </c>
      <c r="C8" s="12" t="n"/>
      <c r="D8" s="12" t="n"/>
      <c r="E8" s="13">
        <f>IFERROR(C8/D8,0)</f>
        <v/>
      </c>
      <c r="F8" s="13">
        <f>IFERROR(E8/1.08,0)</f>
        <v/>
      </c>
      <c r="G8" t="inlineStr">
        <is>
          <t>ソース1で使用（コンカッセ）</t>
        </is>
      </c>
    </row>
    <row r="9">
      <c r="A9" t="inlineStr">
        <is>
          <t>水</t>
        </is>
      </c>
      <c r="B9" t="inlineStr">
        <is>
          <t>cc</t>
        </is>
      </c>
      <c r="C9" s="12" t="n">
        <v>0</v>
      </c>
      <c r="D9" s="12" t="n">
        <v>1</v>
      </c>
      <c r="E9" s="13">
        <f>IFERROR(C9/D9,0)</f>
        <v/>
      </c>
      <c r="F9" s="13">
        <f>IFERROR(E9/1.08,0)</f>
        <v/>
      </c>
      <c r="G9" t="inlineStr">
        <is>
          <t>ソース1で使用 ※単価0想定</t>
        </is>
      </c>
    </row>
    <row r="10">
      <c r="A10" t="inlineStr">
        <is>
          <t>粒マスタード</t>
        </is>
      </c>
      <c r="B10" t="inlineStr">
        <is>
          <t>g</t>
        </is>
      </c>
      <c r="C10" s="12" t="n"/>
      <c r="D10" s="12" t="n"/>
      <c r="E10" s="13">
        <f>IFERROR(C10/D10,0)</f>
        <v/>
      </c>
      <c r="F10" s="13">
        <f>IFERROR(E10/1.08,0)</f>
        <v/>
      </c>
      <c r="G10" t="inlineStr">
        <is>
          <t>ソース1で使用（ソース全量×5%）</t>
        </is>
      </c>
    </row>
    <row r="11">
      <c r="A11" t="inlineStr">
        <is>
          <t>白ワイン</t>
        </is>
      </c>
      <c r="B11" t="inlineStr">
        <is>
          <t>ml</t>
        </is>
      </c>
      <c r="C11" s="12" t="n"/>
      <c r="D11" s="12" t="n"/>
      <c r="E11" s="13">
        <f>IFERROR(C11/D11,0)</f>
        <v/>
      </c>
      <c r="F11" s="13">
        <f>IFERROR(E11/1.08,0)</f>
        <v/>
      </c>
      <c r="G11" t="inlineStr">
        <is>
          <t>ソース2/6で使用</t>
        </is>
      </c>
    </row>
    <row r="12">
      <c r="A12" t="inlineStr">
        <is>
          <t>クラム</t>
        </is>
      </c>
      <c r="B12" t="inlineStr">
        <is>
          <t>g</t>
        </is>
      </c>
      <c r="C12" s="12" t="n"/>
      <c r="D12" s="12" t="n"/>
      <c r="E12" s="13">
        <f>IFERROR(C12/D12,0)</f>
        <v/>
      </c>
      <c r="F12" s="13">
        <f>IFERROR(E12/1.08,0)</f>
        <v/>
      </c>
      <c r="G12" t="inlineStr">
        <is>
          <t>ソース2で使用</t>
        </is>
      </c>
    </row>
    <row r="13">
      <c r="A13" t="inlineStr">
        <is>
          <t>生クリーム</t>
        </is>
      </c>
      <c r="B13" t="inlineStr">
        <is>
          <t>ml</t>
        </is>
      </c>
      <c r="C13" s="12" t="n"/>
      <c r="D13" s="12" t="n"/>
      <c r="E13" s="13">
        <f>IFERROR(C13/D13,0)</f>
        <v/>
      </c>
      <c r="F13" s="13">
        <f>IFERROR(E13/1.08,0)</f>
        <v/>
      </c>
      <c r="G13" t="inlineStr">
        <is>
          <t>ソース2で使用</t>
        </is>
      </c>
    </row>
    <row r="14">
      <c r="A14" t="inlineStr">
        <is>
          <t>オニオンステーキソース</t>
        </is>
      </c>
      <c r="B14" t="inlineStr">
        <is>
          <t>cc</t>
        </is>
      </c>
      <c r="C14" s="12" t="n">
        <v>700.92</v>
      </c>
      <c r="D14" s="12" t="n">
        <v>1110</v>
      </c>
      <c r="E14" s="13">
        <f>IFERROR(C14/D14,0)</f>
        <v/>
      </c>
      <c r="F14" s="13">
        <f>IFERROR(E14/1.08,0)</f>
        <v/>
      </c>
      <c r="G14" t="inlineStr">
        <is>
          <t>ソース3で使用（市販） / トーホー / ステーキしょうゆ オニオン&amp;ペッパー 1110g 税抜649円</t>
        </is>
      </c>
    </row>
    <row r="15">
      <c r="A15" t="inlineStr">
        <is>
          <t>ニンニク醤油ソース</t>
        </is>
      </c>
      <c r="B15" t="inlineStr">
        <is>
          <t>cc</t>
        </is>
      </c>
      <c r="C15" s="12" t="n">
        <v>680.4</v>
      </c>
      <c r="D15" s="12" t="n">
        <v>1205</v>
      </c>
      <c r="E15" s="13">
        <f>IFERROR(C15/D15,0)</f>
        <v/>
      </c>
      <c r="F15" s="13">
        <f>IFERROR(E15/1.08,0)</f>
        <v/>
      </c>
      <c r="G15" t="inlineStr">
        <is>
          <t>ソース3で使用（市販） / トーホー / ステーキしょうゆ にんにく風味 1205g 税抜630円</t>
        </is>
      </c>
    </row>
    <row r="16">
      <c r="A16" t="inlineStr">
        <is>
          <t>玉ねぎ(個)</t>
        </is>
      </c>
      <c r="B16" t="inlineStr">
        <is>
          <t>個</t>
        </is>
      </c>
      <c r="C16" s="12" t="n"/>
      <c r="D16" s="12" t="n"/>
      <c r="E16" s="13">
        <f>IFERROR(C16/D16,0)</f>
        <v/>
      </c>
      <c r="F16" s="13">
        <f>IFERROR(E16/1.08,0)</f>
        <v/>
      </c>
      <c r="G16" t="inlineStr">
        <is>
          <t>ソース4(ピクルス)で使用</t>
        </is>
      </c>
    </row>
    <row r="17">
      <c r="A17" t="inlineStr">
        <is>
          <t>玉ねぎ(g)</t>
        </is>
      </c>
      <c r="B17" t="inlineStr">
        <is>
          <t>g</t>
        </is>
      </c>
      <c r="C17" s="12" t="n"/>
      <c r="D17" s="12" t="n"/>
      <c r="E17" s="13">
        <f>IFERROR(C17/D17,0)</f>
        <v/>
      </c>
      <c r="F17" s="13">
        <f>IFERROR(E17/1.08,0)</f>
        <v/>
      </c>
      <c r="G17" t="inlineStr">
        <is>
          <t>ソース6で使用</t>
        </is>
      </c>
    </row>
    <row r="18">
      <c r="A18" t="inlineStr">
        <is>
          <t>生姜</t>
        </is>
      </c>
      <c r="B18" t="inlineStr">
        <is>
          <t>g</t>
        </is>
      </c>
      <c r="C18" s="12" t="n"/>
      <c r="D18" s="12" t="n"/>
      <c r="E18" s="13">
        <f>IFERROR(C18/D18,0)</f>
        <v/>
      </c>
      <c r="F18" s="13">
        <f>IFERROR(E18/1.08,0)</f>
        <v/>
      </c>
      <c r="G18" t="inlineStr">
        <is>
          <t>ソース6で使用</t>
        </is>
      </c>
    </row>
    <row r="19">
      <c r="A19" t="inlineStr">
        <is>
          <t>にんにく(株)</t>
        </is>
      </c>
      <c r="B19" t="inlineStr">
        <is>
          <t>株</t>
        </is>
      </c>
      <c r="C19" s="12" t="n"/>
      <c r="D19" s="12" t="n"/>
      <c r="E19" s="13">
        <f>IFERROR(C19/D19,0)</f>
        <v/>
      </c>
      <c r="F19" s="13">
        <f>IFERROR(E19/1.08,0)</f>
        <v/>
      </c>
      <c r="G19" t="inlineStr">
        <is>
          <t>ソース6で使用</t>
        </is>
      </c>
    </row>
    <row r="20">
      <c r="A20" t="inlineStr">
        <is>
          <t>日本酒</t>
        </is>
      </c>
      <c r="B20" t="inlineStr">
        <is>
          <t>cc</t>
        </is>
      </c>
      <c r="C20" s="12" t="n"/>
      <c r="D20" s="12" t="n"/>
      <c r="E20" s="13">
        <f>IFERROR(C20/D20,0)</f>
        <v/>
      </c>
      <c r="F20" s="13">
        <f>IFERROR(E20/1.08,0)</f>
        <v/>
      </c>
      <c r="G20" t="inlineStr">
        <is>
          <t>ソース6で使用</t>
        </is>
      </c>
    </row>
    <row r="21">
      <c r="A21" t="inlineStr">
        <is>
          <t>上白糖</t>
        </is>
      </c>
      <c r="B21" t="inlineStr">
        <is>
          <t>g</t>
        </is>
      </c>
      <c r="C21" s="12" t="n"/>
      <c r="D21" s="12" t="n"/>
      <c r="E21" s="13">
        <f>IFERROR(C21/D21,0)</f>
        <v/>
      </c>
      <c r="F21" s="13">
        <f>IFERROR(E21/1.08,0)</f>
        <v/>
      </c>
      <c r="G21" t="inlineStr">
        <is>
          <t>ソース6で使用</t>
        </is>
      </c>
    </row>
    <row r="22">
      <c r="A22" t="inlineStr">
        <is>
          <t>レモン</t>
        </is>
      </c>
      <c r="B22" t="inlineStr">
        <is>
          <t>個</t>
        </is>
      </c>
      <c r="C22" s="12" t="n"/>
      <c r="D22" s="12" t="n"/>
      <c r="E22" s="13">
        <f>IFERROR(C22/D22,0)</f>
        <v/>
      </c>
      <c r="F22" s="13">
        <f>IFERROR(E22/1.08,0)</f>
        <v/>
      </c>
      <c r="G22" t="inlineStr">
        <is>
          <t>ソース6で使用</t>
        </is>
      </c>
    </row>
    <row r="23">
      <c r="A23" t="inlineStr">
        <is>
          <t>かんたん酢</t>
        </is>
      </c>
      <c r="B23" t="inlineStr">
        <is>
          <t>ml</t>
        </is>
      </c>
      <c r="C23" s="12" t="n"/>
      <c r="D23" s="12" t="n"/>
      <c r="E23" s="13">
        <f>IFERROR(C23/D23,0)</f>
        <v/>
      </c>
      <c r="F23" s="13">
        <f>IFERROR(E23/1.08,0)</f>
        <v/>
      </c>
      <c r="G23" t="inlineStr">
        <is>
          <t>ピクルスで使用</t>
        </is>
      </c>
    </row>
    <row r="24">
      <c r="A24" t="inlineStr">
        <is>
          <t>白ワインビネガー</t>
        </is>
      </c>
      <c r="B24" t="inlineStr">
        <is>
          <t>ml</t>
        </is>
      </c>
      <c r="C24" s="12" t="n">
        <v>334.8</v>
      </c>
      <c r="D24" s="12" t="n">
        <v>1000</v>
      </c>
      <c r="E24" s="13">
        <f>IFERROR(C24/D24,0)</f>
        <v/>
      </c>
      <c r="F24" s="13">
        <f>IFERROR(E24/1.08,0)</f>
        <v/>
      </c>
      <c r="G24" t="inlineStr">
        <is>
          <t>ピクルスで使用 / トーホー / レストランビネガー ワインタイプ 1L 税抜310円</t>
        </is>
      </c>
    </row>
    <row r="25">
      <c r="A25" t="inlineStr">
        <is>
          <t>塩</t>
        </is>
      </c>
      <c r="B25" t="inlineStr">
        <is>
          <t>g</t>
        </is>
      </c>
      <c r="C25" s="12" t="n"/>
      <c r="D25" s="12" t="n"/>
      <c r="E25" s="13">
        <f>IFERROR(C25/D25,0)</f>
        <v/>
      </c>
      <c r="F25" s="13">
        <f>IFERROR(E25/1.08,0)</f>
        <v/>
      </c>
      <c r="G25" t="inlineStr">
        <is>
          <t>ピクルスで使用</t>
        </is>
      </c>
    </row>
    <row r="26">
      <c r="A26" t="inlineStr">
        <is>
          <t>グラニュー糖</t>
        </is>
      </c>
      <c r="B26" t="inlineStr">
        <is>
          <t>g</t>
        </is>
      </c>
      <c r="C26" s="12" t="n"/>
      <c r="D26" s="12" t="n"/>
      <c r="E26" s="13">
        <f>IFERROR(C26/D26,0)</f>
        <v/>
      </c>
      <c r="F26" s="13">
        <f>IFERROR(E26/1.08,0)</f>
        <v/>
      </c>
      <c r="G26" t="inlineStr">
        <is>
          <t>ピクルスで使用</t>
        </is>
      </c>
    </row>
    <row r="27">
      <c r="A27" t="inlineStr">
        <is>
          <t>とうがらし</t>
        </is>
      </c>
      <c r="B27" t="inlineStr">
        <is>
          <t>本</t>
        </is>
      </c>
      <c r="C27" s="12" t="n"/>
      <c r="D27" s="12" t="n"/>
      <c r="E27" s="13">
        <f>IFERROR(C27/D27,0)</f>
        <v/>
      </c>
      <c r="F27" s="13">
        <f>IFERROR(E27/1.08,0)</f>
        <v/>
      </c>
      <c r="G27" t="inlineStr">
        <is>
          <t>ピクルスで使用</t>
        </is>
      </c>
    </row>
    <row r="28">
      <c r="A28" t="inlineStr">
        <is>
          <t>白粒こしょう</t>
        </is>
      </c>
      <c r="B28" t="inlineStr">
        <is>
          <t>粒</t>
        </is>
      </c>
      <c r="C28" s="12" t="n"/>
      <c r="D28" s="12" t="n"/>
      <c r="E28" s="13">
        <f>IFERROR(C28/D28,0)</f>
        <v/>
      </c>
      <c r="F28" s="13">
        <f>IFERROR(E28/1.08,0)</f>
        <v/>
      </c>
      <c r="G28" t="inlineStr">
        <is>
          <t>ピクルスで使用</t>
        </is>
      </c>
    </row>
    <row r="29">
      <c r="A29" t="inlineStr">
        <is>
          <t>大根</t>
        </is>
      </c>
      <c r="B29" t="inlineStr">
        <is>
          <t>本</t>
        </is>
      </c>
      <c r="C29" s="12" t="n"/>
      <c r="D29" s="12" t="n"/>
      <c r="E29" s="13">
        <f>IFERROR(C29/D29,0)</f>
        <v/>
      </c>
      <c r="F29" s="13">
        <f>IFERROR(E29/1.08,0)</f>
        <v/>
      </c>
      <c r="G29" t="inlineStr">
        <is>
          <t>ピクルスで使用</t>
        </is>
      </c>
    </row>
    <row r="30">
      <c r="A30" t="inlineStr">
        <is>
          <t>人参</t>
        </is>
      </c>
      <c r="B30" t="inlineStr">
        <is>
          <t>本</t>
        </is>
      </c>
      <c r="C30" s="12" t="n"/>
      <c r="D30" s="12" t="n"/>
      <c r="E30" s="13">
        <f>IFERROR(C30/D30,0)</f>
        <v/>
      </c>
      <c r="F30" s="13">
        <f>IFERROR(E30/1.08,0)</f>
        <v/>
      </c>
      <c r="G30" t="inlineStr">
        <is>
          <t>ピクルスで使用</t>
        </is>
      </c>
    </row>
    <row r="31">
      <c r="A31" t="inlineStr">
        <is>
          <t>パプリカ</t>
        </is>
      </c>
      <c r="B31" t="inlineStr">
        <is>
          <t>個</t>
        </is>
      </c>
      <c r="C31" s="12" t="n"/>
      <c r="D31" s="12" t="n"/>
      <c r="E31" s="13">
        <f>IFERROR(C31/D31,0)</f>
        <v/>
      </c>
      <c r="F31" s="13">
        <f>IFERROR(E31/1.08,0)</f>
        <v/>
      </c>
      <c r="G31" t="inlineStr">
        <is>
          <t>ピクルスで使用</t>
        </is>
      </c>
    </row>
    <row r="32">
      <c r="A32" t="inlineStr">
        <is>
          <t>ヤングコーン(缶)</t>
        </is>
      </c>
      <c r="B32" t="inlineStr">
        <is>
          <t>缶</t>
        </is>
      </c>
      <c r="C32" s="12" t="n"/>
      <c r="D32" s="12" t="n"/>
      <c r="E32" s="13">
        <f>IFERROR(C32/D32,0)</f>
        <v/>
      </c>
      <c r="F32" s="13">
        <f>IFERROR(E32/1.08,0)</f>
        <v/>
      </c>
      <c r="G32" t="inlineStr">
        <is>
          <t>ピクルスで使用</t>
        </is>
      </c>
    </row>
    <row r="33">
      <c r="A33" t="inlineStr">
        <is>
          <t>きゅうり</t>
        </is>
      </c>
      <c r="B33" t="inlineStr">
        <is>
          <t>本</t>
        </is>
      </c>
      <c r="C33" s="12" t="n"/>
      <c r="D33" s="12" t="n"/>
      <c r="E33" s="13">
        <f>IFERROR(C33/D33,0)</f>
        <v/>
      </c>
      <c r="F33" s="13">
        <f>IFERROR(E33/1.08,0)</f>
        <v/>
      </c>
      <c r="G33" t="inlineStr">
        <is>
          <t>ピクルスで使用</t>
        </is>
      </c>
    </row>
    <row r="34">
      <c r="A34" t="inlineStr">
        <is>
          <t>サラダ油</t>
        </is>
      </c>
      <c r="B34" t="inlineStr">
        <is>
          <t>cc</t>
        </is>
      </c>
      <c r="C34" s="12" t="n"/>
      <c r="D34" s="12" t="n"/>
      <c r="E34" s="13">
        <f>IFERROR(C34/D34,0)</f>
        <v/>
      </c>
      <c r="F34" s="13">
        <f>IFERROR(E34/1.08,0)</f>
        <v/>
      </c>
      <c r="G34" t="inlineStr">
        <is>
          <t>ソース5で使用</t>
        </is>
      </c>
    </row>
    <row r="35">
      <c r="A35" t="inlineStr">
        <is>
          <t>ケチャップ</t>
        </is>
      </c>
      <c r="B35" t="inlineStr">
        <is>
          <t>g</t>
        </is>
      </c>
      <c r="C35" s="12" t="n"/>
      <c r="D35" s="12" t="n"/>
      <c r="E35" s="13">
        <f>IFERROR(C35/D35,0)</f>
        <v/>
      </c>
      <c r="F35" s="13">
        <f>IFERROR(E35/1.08,0)</f>
        <v/>
      </c>
      <c r="G35" t="inlineStr">
        <is>
          <t>ソース5で使用</t>
        </is>
      </c>
    </row>
    <row r="36">
      <c r="A36" t="inlineStr">
        <is>
          <t>りんご</t>
        </is>
      </c>
      <c r="B36" t="inlineStr">
        <is>
          <t>個</t>
        </is>
      </c>
      <c r="C36" s="12" t="n"/>
      <c r="D36" s="12" t="n"/>
      <c r="E36" s="13">
        <f>IFERROR(C36/D36,0)</f>
        <v/>
      </c>
      <c r="F36" s="13">
        <f>IFERROR(E36/1.08,0)</f>
        <v/>
      </c>
      <c r="G36" t="inlineStr">
        <is>
          <t>ソース5で使用</t>
        </is>
      </c>
    </row>
    <row r="37">
      <c r="A37" t="inlineStr">
        <is>
          <t>にんにく(個)</t>
        </is>
      </c>
      <c r="B37" t="inlineStr">
        <is>
          <t>個</t>
        </is>
      </c>
      <c r="C37" s="12" t="n"/>
      <c r="D37" s="12" t="n"/>
      <c r="E37" s="13">
        <f>IFERROR(C37/D37,0)</f>
        <v/>
      </c>
      <c r="F37" s="13">
        <f>IFERROR(E37/1.08,0)</f>
        <v/>
      </c>
      <c r="G37" t="inlineStr">
        <is>
          <t>ソース5で使用 ※ソース6は(株)単位で別行</t>
        </is>
      </c>
    </row>
    <row r="38">
      <c r="A38" t="inlineStr">
        <is>
          <t>チリペッパーパウダー</t>
        </is>
      </c>
      <c r="B38" t="inlineStr">
        <is>
          <t>g</t>
        </is>
      </c>
      <c r="C38" s="12" t="n"/>
      <c r="D38" s="12" t="n"/>
      <c r="E38" s="13">
        <f>IFERROR(C38/D38,0)</f>
        <v/>
      </c>
      <c r="F38" s="13">
        <f>IFERROR(E38/1.08,0)</f>
        <v/>
      </c>
      <c r="G38" t="inlineStr">
        <is>
          <t>ソース5で使用（適量・初期0）</t>
        </is>
      </c>
    </row>
    <row r="39">
      <c r="A39" t="inlineStr">
        <is>
          <t>エバラおろしのたれ</t>
        </is>
      </c>
      <c r="B39" t="inlineStr">
        <is>
          <t>cc</t>
        </is>
      </c>
      <c r="C39" s="12" t="n">
        <v>861.84</v>
      </c>
      <c r="D39" s="12" t="n">
        <v>1000</v>
      </c>
      <c r="E39" s="13">
        <f>IFERROR(C39/D39,0)</f>
        <v/>
      </c>
      <c r="F39" s="13">
        <f>IFERROR(E39/1.08,0)</f>
        <v/>
      </c>
      <c r="G39" t="inlineStr">
        <is>
          <t>ソース7（市販品） / トーホー / エバラ厨房応援団 おろしのたれレモン醤油味 1L 税抜798円</t>
        </is>
      </c>
    </row>
    <row r="40">
      <c r="A40" t="inlineStr">
        <is>
          <t>牛モモ(加熱用)</t>
        </is>
      </c>
      <c r="B40" t="inlineStr">
        <is>
          <t>g</t>
        </is>
      </c>
      <c r="C40" s="12" t="n">
        <v>2648.16</v>
      </c>
      <c r="D40" s="12" t="n">
        <v>1000</v>
      </c>
      <c r="E40" s="13">
        <f>IFERROR(C40/D40,0)</f>
        <v/>
      </c>
      <c r="F40" s="13">
        <f>IFERROR(E40/1.08,0)</f>
        <v/>
      </c>
      <c r="G40" t="inlineStr">
        <is>
          <t>ロービー用の原料肉（オーストラリア産）※歩留まり別途設定要 / レーベン / オーストラリア産 牛モモ(加熱用) 5.49kg 税抜2452円/kg</t>
        </is>
      </c>
    </row>
    <row r="41">
      <c r="A41" t="inlineStr">
        <is>
          <t>ブロッコリー(冷凍)</t>
        </is>
      </c>
      <c r="B41" t="inlineStr">
        <is>
          <t>g</t>
        </is>
      </c>
      <c r="C41" s="12" t="n">
        <v>270</v>
      </c>
      <c r="D41" s="12" t="n">
        <v>500</v>
      </c>
      <c r="E41" s="13">
        <f>IFERROR(C41/D41,0)</f>
        <v/>
      </c>
      <c r="F41" s="13">
        <f>IFERROR(E41/1.08,0)</f>
        <v/>
      </c>
      <c r="G41" t="inlineStr">
        <is>
          <t>サイド「ブロッコリー」用（ユニフーズ500g） / トーホー / ユニフーズ ブロッコリー 500g 税抜250円</t>
        </is>
      </c>
    </row>
    <row r="42">
      <c r="A42" t="inlineStr">
        <is>
          <t>ミニトマト</t>
        </is>
      </c>
      <c r="B42" t="inlineStr">
        <is>
          <t>個</t>
        </is>
      </c>
      <c r="C42" s="12" t="n"/>
      <c r="D42" s="12" t="n"/>
      <c r="E42" s="13">
        <f>IFERROR(C42/D42,0)</f>
        <v/>
      </c>
      <c r="F42" s="13">
        <f>IFERROR(E42/1.08,0)</f>
        <v/>
      </c>
      <c r="G42" t="inlineStr">
        <is>
          <t>サイド「ミニトマト」用</t>
        </is>
      </c>
    </row>
    <row r="43">
      <c r="A43" t="inlineStr">
        <is>
          <t>サニーレタス</t>
        </is>
      </c>
      <c r="B43" t="inlineStr">
        <is>
          <t>個</t>
        </is>
      </c>
      <c r="C43" s="12" t="n"/>
      <c r="D43" s="12" t="n"/>
      <c r="E43" s="13">
        <f>IFERROR(C43/D43,0)</f>
        <v/>
      </c>
      <c r="F43" s="13">
        <f>IFERROR(E43/1.08,0)</f>
        <v/>
      </c>
      <c r="G43" t="inlineStr">
        <is>
          <t>サラダベース材料</t>
        </is>
      </c>
    </row>
    <row r="44">
      <c r="A44" t="inlineStr">
        <is>
          <t>水菜</t>
        </is>
      </c>
      <c r="B44" t="inlineStr">
        <is>
          <t>束</t>
        </is>
      </c>
      <c r="C44" s="12" t="n"/>
      <c r="D44" s="12" t="n"/>
      <c r="E44" s="13">
        <f>IFERROR(C44/D44,0)</f>
        <v/>
      </c>
      <c r="F44" s="13">
        <f>IFERROR(E44/1.08,0)</f>
        <v/>
      </c>
      <c r="G44" t="inlineStr">
        <is>
          <t>サラダベース材料</t>
        </is>
      </c>
    </row>
    <row r="45">
      <c r="A45" t="inlineStr">
        <is>
          <t>白菜</t>
        </is>
      </c>
      <c r="B45" t="inlineStr">
        <is>
          <t>個</t>
        </is>
      </c>
      <c r="C45" s="12" t="n"/>
      <c r="D45" s="12" t="n"/>
      <c r="E45" s="13">
        <f>IFERROR(C45/D45,0)</f>
        <v/>
      </c>
      <c r="F45" s="13">
        <f>IFERROR(E45/1.08,0)</f>
        <v/>
      </c>
      <c r="G45" t="inlineStr">
        <is>
          <t>サラダベース材料（ハーフで1/2）</t>
        </is>
      </c>
    </row>
    <row r="46">
      <c r="A46" t="inlineStr">
        <is>
          <t>紫キャベツ</t>
        </is>
      </c>
      <c r="B46" t="inlineStr">
        <is>
          <t>個</t>
        </is>
      </c>
      <c r="C46" s="12" t="n"/>
      <c r="D46" s="12" t="n"/>
      <c r="E46" s="13">
        <f>IFERROR(C46/D46,0)</f>
        <v/>
      </c>
      <c r="F46" s="13">
        <f>IFERROR(E46/1.08,0)</f>
        <v/>
      </c>
      <c r="G46" t="inlineStr">
        <is>
          <t>サラダベース材料（ハーフで1/2）</t>
        </is>
      </c>
    </row>
    <row r="47">
      <c r="A47" t="inlineStr">
        <is>
          <t>キャベツ</t>
        </is>
      </c>
      <c r="B47" t="inlineStr">
        <is>
          <t>個</t>
        </is>
      </c>
      <c r="C47" s="12" t="n"/>
      <c r="D47" s="12" t="n"/>
      <c r="E47" s="13">
        <f>IFERROR(C47/D47,0)</f>
        <v/>
      </c>
      <c r="F47" s="13">
        <f>IFERROR(E47/1.08,0)</f>
        <v/>
      </c>
      <c r="G47" t="inlineStr">
        <is>
          <t>蒸し野菜材料</t>
        </is>
      </c>
    </row>
    <row r="48">
      <c r="A48" t="inlineStr">
        <is>
          <t>もやし</t>
        </is>
      </c>
      <c r="B48" t="inlineStr">
        <is>
          <t>g</t>
        </is>
      </c>
      <c r="C48" s="12" t="n"/>
      <c r="D48" s="12" t="n"/>
      <c r="E48" s="13">
        <f>IFERROR(C48/D48,0)</f>
        <v/>
      </c>
      <c r="F48" s="13">
        <f>IFERROR(E48/1.08,0)</f>
        <v/>
      </c>
      <c r="G48" t="inlineStr">
        <is>
          <t>蒸し野菜材料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5C5A4"/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7" customWidth="1" min="4" max="4"/>
    <col width="20" customWidth="1" min="5" max="5"/>
    <col width="14" customWidth="1" min="6" max="6"/>
    <col width="18" customWidth="1" min="7" max="7"/>
    <col width="30" customWidth="1" min="8" max="8"/>
  </cols>
  <sheetData>
    <row r="1">
      <c r="A1" s="11" t="inlineStr">
        <is>
          <t>ソース名</t>
        </is>
      </c>
      <c r="B1" s="11" t="inlineStr">
        <is>
          <t>材料名</t>
        </is>
      </c>
      <c r="C1" s="11" t="inlineStr">
        <is>
          <t>分量</t>
        </is>
      </c>
      <c r="D1" s="11" t="inlineStr">
        <is>
          <t>単位</t>
        </is>
      </c>
      <c r="E1" s="11" t="inlineStr">
        <is>
          <t>税抜単位単価（円/単位）</t>
        </is>
      </c>
      <c r="F1" s="11" t="inlineStr">
        <is>
          <t>材料費（円）</t>
        </is>
      </c>
      <c r="G1" s="11" t="inlineStr">
        <is>
          <t>出来上がり寄与量（cc/g）</t>
        </is>
      </c>
      <c r="H1" s="11" t="inlineStr">
        <is>
          <t>備考</t>
        </is>
      </c>
    </row>
    <row r="2">
      <c r="A2" t="inlineStr">
        <is>
          <t>ハンバーグソース</t>
        </is>
      </c>
      <c r="B2" t="inlineStr">
        <is>
          <t>味醂</t>
        </is>
      </c>
      <c r="C2" s="15" t="n">
        <v>1080</v>
      </c>
      <c r="D2" t="inlineStr">
        <is>
          <t>cc</t>
        </is>
      </c>
      <c r="E2" s="13">
        <f>IFERROR(VLOOKUP(B2,レシピ材料マスタ!$A$2:$F$48,6,FALSE),0)</f>
        <v/>
      </c>
      <c r="F2" s="15">
        <f>IFERROR(C2*E2,0)</f>
        <v/>
      </c>
      <c r="G2" s="15">
        <f>IF(OR(D2="cc",D2="ml",D2="g"),IFERROR(C2,0),0)</f>
        <v/>
      </c>
      <c r="H2" t="inlineStr">
        <is>
          <t>アルコールを飛ばす</t>
        </is>
      </c>
    </row>
    <row r="3">
      <c r="A3" t="inlineStr">
        <is>
          <t>ハンバーグソース</t>
        </is>
      </c>
      <c r="B3" t="inlineStr">
        <is>
          <t>醤油</t>
        </is>
      </c>
      <c r="C3" s="15" t="n">
        <v>540</v>
      </c>
      <c r="D3" t="inlineStr">
        <is>
          <t>cc</t>
        </is>
      </c>
      <c r="E3" s="13">
        <f>IFERROR(VLOOKUP(B3,レシピ材料マスタ!$A$2:$F$48,6,FALSE),0)</f>
        <v/>
      </c>
      <c r="F3" s="15">
        <f>IFERROR(C3*E3,0)</f>
        <v/>
      </c>
      <c r="G3" s="15">
        <f>IF(OR(D3="cc",D3="ml",D3="g"),IFERROR(C3,0),0)</f>
        <v/>
      </c>
      <c r="H3" t="inlineStr"/>
    </row>
    <row r="4">
      <c r="A4" t="inlineStr">
        <is>
          <t>ハンバーグソース</t>
        </is>
      </c>
      <c r="B4" t="inlineStr">
        <is>
          <t>マギーブイヨン</t>
        </is>
      </c>
      <c r="C4" s="15" t="n">
        <v>3</v>
      </c>
      <c r="D4" t="inlineStr">
        <is>
          <t>個</t>
        </is>
      </c>
      <c r="E4" s="13">
        <f>IFERROR(VLOOKUP(B4,レシピ材料マスタ!$A$2:$F$48,6,FALSE),0)</f>
        <v/>
      </c>
      <c r="F4" s="15">
        <f>IFERROR(C4*E4,0)</f>
        <v/>
      </c>
      <c r="G4" s="15">
        <f>IF(OR(D4="cc",D4="ml",D4="g"),IFERROR(C4,0),0)</f>
        <v/>
      </c>
      <c r="H4" t="inlineStr"/>
    </row>
    <row r="5">
      <c r="A5" t="inlineStr">
        <is>
          <t>ハンバーグソース</t>
        </is>
      </c>
      <c r="B5" t="inlineStr">
        <is>
          <t>顆粒だし</t>
        </is>
      </c>
      <c r="C5" s="15" t="n">
        <v>35</v>
      </c>
      <c r="D5" t="inlineStr">
        <is>
          <t>g</t>
        </is>
      </c>
      <c r="E5" s="13">
        <f>IFERROR(VLOOKUP(B5,レシピ材料マスタ!$A$2:$F$48,6,FALSE),0)</f>
        <v/>
      </c>
      <c r="F5" s="15">
        <f>IFERROR(C5*E5,0)</f>
        <v/>
      </c>
      <c r="G5" s="15">
        <f>IF(OR(D5="cc",D5="ml",D5="g"),IFERROR(C5,0),0)</f>
        <v/>
      </c>
      <c r="H5" t="inlineStr"/>
    </row>
    <row r="6">
      <c r="A6" t="inlineStr">
        <is>
          <t>ハンバーグソース</t>
        </is>
      </c>
      <c r="B6" t="inlineStr">
        <is>
          <t>しめじ</t>
        </is>
      </c>
      <c r="C6" s="15" t="n">
        <v>4</v>
      </c>
      <c r="D6" t="inlineStr">
        <is>
          <t>pc</t>
        </is>
      </c>
      <c r="E6" s="13">
        <f>IFERROR(VLOOKUP(B6,レシピ材料マスタ!$A$2:$F$48,6,FALSE),0)</f>
        <v/>
      </c>
      <c r="F6" s="15">
        <f>IFERROR(C6*E6,0)</f>
        <v/>
      </c>
      <c r="G6" s="15">
        <f>IF(OR(D6="cc",D6="ml",D6="g"),IFERROR(C6,0),0)</f>
        <v/>
      </c>
      <c r="H6" t="inlineStr">
        <is>
          <t>コンカッセ</t>
        </is>
      </c>
    </row>
    <row r="7">
      <c r="A7" t="inlineStr">
        <is>
          <t>ハンバーグソース</t>
        </is>
      </c>
      <c r="B7" t="inlineStr">
        <is>
          <t>えのき</t>
        </is>
      </c>
      <c r="C7" s="15" t="n">
        <v>2</v>
      </c>
      <c r="D7" t="inlineStr">
        <is>
          <t>pc</t>
        </is>
      </c>
      <c r="E7" s="13">
        <f>IFERROR(VLOOKUP(B7,レシピ材料マスタ!$A$2:$F$48,6,FALSE),0)</f>
        <v/>
      </c>
      <c r="F7" s="15">
        <f>IFERROR(C7*E7,0)</f>
        <v/>
      </c>
      <c r="G7" s="15">
        <f>IF(OR(D7="cc",D7="ml",D7="g"),IFERROR(C7,0),0)</f>
        <v/>
      </c>
      <c r="H7" t="inlineStr">
        <is>
          <t>コンカッセ</t>
        </is>
      </c>
    </row>
    <row r="8">
      <c r="A8" t="inlineStr">
        <is>
          <t>ハンバーグソース</t>
        </is>
      </c>
      <c r="B8" t="inlineStr">
        <is>
          <t>エリンギ</t>
        </is>
      </c>
      <c r="C8" s="15" t="n">
        <v>2</v>
      </c>
      <c r="D8" t="inlineStr">
        <is>
          <t>pc</t>
        </is>
      </c>
      <c r="E8" s="13">
        <f>IFERROR(VLOOKUP(B8,レシピ材料マスタ!$A$2:$F$48,6,FALSE),0)</f>
        <v/>
      </c>
      <c r="F8" s="15">
        <f>IFERROR(C8*E8,0)</f>
        <v/>
      </c>
      <c r="G8" s="15">
        <f>IF(OR(D8="cc",D8="ml",D8="g"),IFERROR(C8,0),0)</f>
        <v/>
      </c>
      <c r="H8" t="inlineStr">
        <is>
          <t>コンカッセ</t>
        </is>
      </c>
    </row>
    <row r="9">
      <c r="A9" t="inlineStr">
        <is>
          <t>ハンバーグソース</t>
        </is>
      </c>
      <c r="B9" t="inlineStr">
        <is>
          <t>水</t>
        </is>
      </c>
      <c r="C9" s="15" t="n">
        <v>1500</v>
      </c>
      <c r="D9" t="inlineStr">
        <is>
          <t>cc</t>
        </is>
      </c>
      <c r="E9" s="13">
        <f>IFERROR(VLOOKUP(B9,レシピ材料マスタ!$A$2:$F$48,6,FALSE),0)</f>
        <v/>
      </c>
      <c r="F9" s="15">
        <f>IFERROR(C9*E9,0)</f>
        <v/>
      </c>
      <c r="G9" s="15">
        <f>IF(OR(D9="cc",D9="ml",D9="g"),IFERROR(C9,0),0)</f>
        <v/>
      </c>
      <c r="H9" t="inlineStr"/>
    </row>
    <row r="10">
      <c r="A10" t="inlineStr">
        <is>
          <t>ハンバーグソース</t>
        </is>
      </c>
      <c r="B10" t="inlineStr">
        <is>
          <t>粒マスタード</t>
        </is>
      </c>
      <c r="C10" s="15">
        <f>SUMIFS(G:G,A:A,"ハンバーグソース",B:B,"&lt;&gt;粒マスタード")*0.05</f>
        <v/>
      </c>
      <c r="D10" t="inlineStr">
        <is>
          <t>g</t>
        </is>
      </c>
      <c r="E10" s="13">
        <f>IFERROR(VLOOKUP(B10,レシピ材料マスタ!$A$2:$F$48,6,FALSE),0)</f>
        <v/>
      </c>
      <c r="F10" s="15">
        <f>IFERROR(C10*E10,0)</f>
        <v/>
      </c>
      <c r="G10" s="15">
        <f>IF(OR(D10="cc",D10="ml",D10="g"),IFERROR(C10,0),0)</f>
        <v/>
      </c>
      <c r="H10" t="inlineStr">
        <is>
          <t>ソース全量×5%（自動計算）</t>
        </is>
      </c>
    </row>
    <row r="11">
      <c r="A11" t="inlineStr">
        <is>
          <t>ブールブランソース</t>
        </is>
      </c>
      <c r="B11" t="inlineStr">
        <is>
          <t>白ワイン</t>
        </is>
      </c>
      <c r="C11" s="15" t="n">
        <v>15</v>
      </c>
      <c r="D11" t="inlineStr">
        <is>
          <t>ml</t>
        </is>
      </c>
      <c r="E11" s="13">
        <f>IFERROR(VLOOKUP(B11,レシピ材料マスタ!$A$2:$F$48,6,FALSE),0)</f>
        <v/>
      </c>
      <c r="F11" s="15">
        <f>IFERROR(C11*E11,0)</f>
        <v/>
      </c>
      <c r="G11" s="15">
        <f>IF(OR(D11="cc",D11="ml",D11="g"),IFERROR(C11,0),0)</f>
        <v/>
      </c>
      <c r="H11" t="inlineStr">
        <is>
          <t>1食ぶん</t>
        </is>
      </c>
    </row>
    <row r="12">
      <c r="A12" t="inlineStr">
        <is>
          <t>ブールブランソース</t>
        </is>
      </c>
      <c r="B12" t="inlineStr">
        <is>
          <t>クラム</t>
        </is>
      </c>
      <c r="C12" s="15" t="n">
        <v>2.5</v>
      </c>
      <c r="D12" t="inlineStr">
        <is>
          <t>g</t>
        </is>
      </c>
      <c r="E12" s="13">
        <f>IFERROR(VLOOKUP(B12,レシピ材料マスタ!$A$2:$F$48,6,FALSE),0)</f>
        <v/>
      </c>
      <c r="F12" s="15">
        <f>IFERROR(C12*E12,0)</f>
        <v/>
      </c>
      <c r="G12" s="15">
        <f>IF(OR(D12="cc",D12="ml",D12="g"),IFERROR(C12,0),0)</f>
        <v/>
      </c>
      <c r="H12" t="inlineStr">
        <is>
          <t>1食ぶん</t>
        </is>
      </c>
    </row>
    <row r="13">
      <c r="A13" t="inlineStr">
        <is>
          <t>ブールブランソース</t>
        </is>
      </c>
      <c r="B13" t="inlineStr">
        <is>
          <t>生クリーム</t>
        </is>
      </c>
      <c r="C13" s="15" t="n">
        <v>20</v>
      </c>
      <c r="D13" t="inlineStr">
        <is>
          <t>ml</t>
        </is>
      </c>
      <c r="E13" s="13">
        <f>IFERROR(VLOOKUP(B13,レシピ材料マスタ!$A$2:$F$48,6,FALSE),0)</f>
        <v/>
      </c>
      <c r="F13" s="15">
        <f>IFERROR(C13*E13,0)</f>
        <v/>
      </c>
      <c r="G13" s="15">
        <f>IF(OR(D13="cc",D13="ml",D13="g"),IFERROR(C13,0),0)</f>
        <v/>
      </c>
      <c r="H13" t="inlineStr">
        <is>
          <t>1食ぶん</t>
        </is>
      </c>
    </row>
    <row r="14">
      <c r="A14" t="inlineStr">
        <is>
          <t>オニオンソース</t>
        </is>
      </c>
      <c r="B14" t="inlineStr">
        <is>
          <t>オニオンステーキソース</t>
        </is>
      </c>
      <c r="C14" s="15" t="n">
        <v>2000</v>
      </c>
      <c r="D14" t="inlineStr">
        <is>
          <t>cc</t>
        </is>
      </c>
      <c r="E14" s="13">
        <f>IFERROR(VLOOKUP(B14,レシピ材料マスタ!$A$2:$F$48,6,FALSE),0)</f>
        <v/>
      </c>
      <c r="F14" s="15">
        <f>IFERROR(C14*E14,0)</f>
        <v/>
      </c>
      <c r="G14" s="15">
        <f>IF(OR(D14="cc",D14="ml",D14="g"),IFERROR(C14,0),0)</f>
        <v/>
      </c>
      <c r="H14" t="inlineStr">
        <is>
          <t>2L=2000cc</t>
        </is>
      </c>
    </row>
    <row r="15">
      <c r="A15" t="inlineStr">
        <is>
          <t>オニオンソース</t>
        </is>
      </c>
      <c r="B15" t="inlineStr">
        <is>
          <t>ニンニク醤油ソース</t>
        </is>
      </c>
      <c r="C15" s="15" t="n">
        <v>300</v>
      </c>
      <c r="D15" t="inlineStr">
        <is>
          <t>cc</t>
        </is>
      </c>
      <c r="E15" s="13">
        <f>IFERROR(VLOOKUP(B15,レシピ材料マスタ!$A$2:$F$48,6,FALSE),0)</f>
        <v/>
      </c>
      <c r="F15" s="15">
        <f>IFERROR(C15*E15,0)</f>
        <v/>
      </c>
      <c r="G15" s="15">
        <f>IF(OR(D15="cc",D15="ml",D15="g"),IFERROR(C15,0),0)</f>
        <v/>
      </c>
      <c r="H15" t="inlineStr"/>
    </row>
    <row r="16">
      <c r="A16" t="inlineStr">
        <is>
          <t>ピクルス</t>
        </is>
      </c>
      <c r="B16" t="inlineStr">
        <is>
          <t>かんたん酢</t>
        </is>
      </c>
      <c r="C16" s="15" t="n">
        <v>6000</v>
      </c>
      <c r="D16" t="inlineStr">
        <is>
          <t>ml</t>
        </is>
      </c>
      <c r="E16" s="13">
        <f>IFERROR(VLOOKUP(B16,レシピ材料マスタ!$A$2:$F$48,6,FALSE),0)</f>
        <v/>
      </c>
      <c r="F16" s="15">
        <f>IFERROR(C16*E16,0)</f>
        <v/>
      </c>
      <c r="G16" s="15">
        <f>IF(OR(D16="cc",D16="ml",D16="g"),IFERROR(C16,0),0)</f>
        <v/>
      </c>
      <c r="H16" t="inlineStr">
        <is>
          <t>6L=6000ml</t>
        </is>
      </c>
    </row>
    <row r="17">
      <c r="A17" t="inlineStr">
        <is>
          <t>ピクルス</t>
        </is>
      </c>
      <c r="B17" t="inlineStr">
        <is>
          <t>白ワインビネガー</t>
        </is>
      </c>
      <c r="C17" s="15" t="n">
        <v>1000</v>
      </c>
      <c r="D17" t="inlineStr">
        <is>
          <t>ml</t>
        </is>
      </c>
      <c r="E17" s="13">
        <f>IFERROR(VLOOKUP(B17,レシピ材料マスタ!$A$2:$F$48,6,FALSE),0)</f>
        <v/>
      </c>
      <c r="F17" s="15">
        <f>IFERROR(C17*E17,0)</f>
        <v/>
      </c>
      <c r="G17" s="15">
        <f>IF(OR(D17="cc",D17="ml",D17="g"),IFERROR(C17,0),0)</f>
        <v/>
      </c>
      <c r="H17" t="inlineStr">
        <is>
          <t>1L=1000ml</t>
        </is>
      </c>
    </row>
    <row r="18">
      <c r="A18" t="inlineStr">
        <is>
          <t>ピクルス</t>
        </is>
      </c>
      <c r="B18" t="inlineStr">
        <is>
          <t>塩</t>
        </is>
      </c>
      <c r="C18" s="15" t="n">
        <v>175</v>
      </c>
      <c r="D18" t="inlineStr">
        <is>
          <t>g</t>
        </is>
      </c>
      <c r="E18" s="13">
        <f>IFERROR(VLOOKUP(B18,レシピ材料マスタ!$A$2:$F$48,6,FALSE),0)</f>
        <v/>
      </c>
      <c r="F18" s="15">
        <f>IFERROR(C18*E18,0)</f>
        <v/>
      </c>
      <c r="G18" s="15">
        <f>IF(OR(D18="cc",D18="ml",D18="g"),IFERROR(C18,0),0)</f>
        <v/>
      </c>
      <c r="H18" t="inlineStr"/>
    </row>
    <row r="19">
      <c r="A19" t="inlineStr">
        <is>
          <t>ピクルス</t>
        </is>
      </c>
      <c r="B19" t="inlineStr">
        <is>
          <t>グラニュー糖</t>
        </is>
      </c>
      <c r="C19" s="15" t="n">
        <v>150</v>
      </c>
      <c r="D19" t="inlineStr">
        <is>
          <t>g</t>
        </is>
      </c>
      <c r="E19" s="13">
        <f>IFERROR(VLOOKUP(B19,レシピ材料マスタ!$A$2:$F$48,6,FALSE),0)</f>
        <v/>
      </c>
      <c r="F19" s="15">
        <f>IFERROR(C19*E19,0)</f>
        <v/>
      </c>
      <c r="G19" s="15">
        <f>IF(OR(D19="cc",D19="ml",D19="g"),IFERROR(C19,0),0)</f>
        <v/>
      </c>
      <c r="H19" t="inlineStr"/>
    </row>
    <row r="20">
      <c r="A20" t="inlineStr">
        <is>
          <t>ピクルス</t>
        </is>
      </c>
      <c r="B20" t="inlineStr">
        <is>
          <t>とうがらし</t>
        </is>
      </c>
      <c r="C20" s="15" t="n">
        <v>6</v>
      </c>
      <c r="D20" t="inlineStr">
        <is>
          <t>本</t>
        </is>
      </c>
      <c r="E20" s="13">
        <f>IFERROR(VLOOKUP(B20,レシピ材料マスタ!$A$2:$F$48,6,FALSE),0)</f>
        <v/>
      </c>
      <c r="F20" s="15">
        <f>IFERROR(C20*E20,0)</f>
        <v/>
      </c>
      <c r="G20" s="15">
        <f>IF(OR(D20="cc",D20="ml",D20="g"),IFERROR(C20,0),0)</f>
        <v/>
      </c>
      <c r="H20" t="inlineStr"/>
    </row>
    <row r="21">
      <c r="A21" t="inlineStr">
        <is>
          <t>ピクルス</t>
        </is>
      </c>
      <c r="B21" t="inlineStr">
        <is>
          <t>白粒こしょう</t>
        </is>
      </c>
      <c r="C21" s="15" t="n">
        <v>30</v>
      </c>
      <c r="D21" t="inlineStr">
        <is>
          <t>粒</t>
        </is>
      </c>
      <c r="E21" s="13">
        <f>IFERROR(VLOOKUP(B21,レシピ材料マスタ!$A$2:$F$48,6,FALSE),0)</f>
        <v/>
      </c>
      <c r="F21" s="15">
        <f>IFERROR(C21*E21,0)</f>
        <v/>
      </c>
      <c r="G21" s="15">
        <f>IF(OR(D21="cc",D21="ml",D21="g"),IFERROR(C21,0),0)</f>
        <v/>
      </c>
      <c r="H21" t="inlineStr"/>
    </row>
    <row r="22">
      <c r="A22" t="inlineStr">
        <is>
          <t>ピクルス</t>
        </is>
      </c>
      <c r="B22" t="inlineStr">
        <is>
          <t>玉ねぎ(個)</t>
        </is>
      </c>
      <c r="C22" s="15" t="n">
        <v>10</v>
      </c>
      <c r="D22" t="inlineStr">
        <is>
          <t>個</t>
        </is>
      </c>
      <c r="E22" s="13">
        <f>IFERROR(VLOOKUP(B22,レシピ材料マスタ!$A$2:$F$48,6,FALSE),0)</f>
        <v/>
      </c>
      <c r="F22" s="15">
        <f>IFERROR(C22*E22,0)</f>
        <v/>
      </c>
      <c r="G22" s="15">
        <f>IF(OR(D22="cc",D22="ml",D22="g"),IFERROR(C22,0),0)</f>
        <v/>
      </c>
      <c r="H22" t="inlineStr">
        <is>
          <t>追加材料</t>
        </is>
      </c>
    </row>
    <row r="23">
      <c r="A23" t="inlineStr">
        <is>
          <t>ピクルス</t>
        </is>
      </c>
      <c r="B23" t="inlineStr">
        <is>
          <t>大根</t>
        </is>
      </c>
      <c r="C23" s="15" t="n">
        <v>3</v>
      </c>
      <c r="D23" t="inlineStr">
        <is>
          <t>本</t>
        </is>
      </c>
      <c r="E23" s="13">
        <f>IFERROR(VLOOKUP(B23,レシピ材料マスタ!$A$2:$F$48,6,FALSE),0)</f>
        <v/>
      </c>
      <c r="F23" s="15">
        <f>IFERROR(C23*E23,0)</f>
        <v/>
      </c>
      <c r="G23" s="15">
        <f>IF(OR(D23="cc",D23="ml",D23="g"),IFERROR(C23,0),0)</f>
        <v/>
      </c>
      <c r="H23" t="inlineStr">
        <is>
          <t>追加材料</t>
        </is>
      </c>
    </row>
    <row r="24">
      <c r="A24" t="inlineStr">
        <is>
          <t>ピクルス</t>
        </is>
      </c>
      <c r="B24" t="inlineStr">
        <is>
          <t>人参</t>
        </is>
      </c>
      <c r="C24" s="15" t="n">
        <v>10</v>
      </c>
      <c r="D24" t="inlineStr">
        <is>
          <t>本</t>
        </is>
      </c>
      <c r="E24" s="13">
        <f>IFERROR(VLOOKUP(B24,レシピ材料マスタ!$A$2:$F$48,6,FALSE),0)</f>
        <v/>
      </c>
      <c r="F24" s="15">
        <f>IFERROR(C24*E24,0)</f>
        <v/>
      </c>
      <c r="G24" s="15">
        <f>IF(OR(D24="cc",D24="ml",D24="g"),IFERROR(C24,0),0)</f>
        <v/>
      </c>
      <c r="H24" t="inlineStr">
        <is>
          <t>追加材料</t>
        </is>
      </c>
    </row>
    <row r="25">
      <c r="A25" t="inlineStr">
        <is>
          <t>ピクルス</t>
        </is>
      </c>
      <c r="B25" t="inlineStr">
        <is>
          <t>パプリカ</t>
        </is>
      </c>
      <c r="C25" s="15" t="n">
        <v>12</v>
      </c>
      <c r="D25" t="inlineStr">
        <is>
          <t>個</t>
        </is>
      </c>
      <c r="E25" s="13">
        <f>IFERROR(VLOOKUP(B25,レシピ材料マスタ!$A$2:$F$48,6,FALSE),0)</f>
        <v/>
      </c>
      <c r="F25" s="15">
        <f>IFERROR(C25*E25,0)</f>
        <v/>
      </c>
      <c r="G25" s="15">
        <f>IF(OR(D25="cc",D25="ml",D25="g"),IFERROR(C25,0),0)</f>
        <v/>
      </c>
      <c r="H25" t="inlineStr">
        <is>
          <t>追加材料</t>
        </is>
      </c>
    </row>
    <row r="26">
      <c r="A26" t="inlineStr">
        <is>
          <t>ピクルス</t>
        </is>
      </c>
      <c r="B26" t="inlineStr">
        <is>
          <t>ヤングコーン(缶)</t>
        </is>
      </c>
      <c r="C26" s="15" t="n">
        <v>8</v>
      </c>
      <c r="D26" t="inlineStr">
        <is>
          <t>缶</t>
        </is>
      </c>
      <c r="E26" s="13">
        <f>IFERROR(VLOOKUP(B26,レシピ材料マスタ!$A$2:$F$48,6,FALSE),0)</f>
        <v/>
      </c>
      <c r="F26" s="15">
        <f>IFERROR(C26*E26,0)</f>
        <v/>
      </c>
      <c r="G26" s="15">
        <f>IF(OR(D26="cc",D26="ml",D26="g"),IFERROR(C26,0),0)</f>
        <v/>
      </c>
      <c r="H26" t="inlineStr">
        <is>
          <t>追加材料</t>
        </is>
      </c>
    </row>
    <row r="27">
      <c r="A27" t="inlineStr">
        <is>
          <t>ピクルス</t>
        </is>
      </c>
      <c r="B27" t="inlineStr">
        <is>
          <t>きゅうり</t>
        </is>
      </c>
      <c r="C27" s="15" t="n">
        <v>12</v>
      </c>
      <c r="D27" t="inlineStr">
        <is>
          <t>本</t>
        </is>
      </c>
      <c r="E27" s="13">
        <f>IFERROR(VLOOKUP(B27,レシピ材料マスタ!$A$2:$F$48,6,FALSE),0)</f>
        <v/>
      </c>
      <c r="F27" s="15">
        <f>IFERROR(C27*E27,0)</f>
        <v/>
      </c>
      <c r="G27" s="15">
        <f>IF(OR(D27="cc",D27="ml",D27="g"),IFERROR(C27,0),0)</f>
        <v/>
      </c>
      <c r="H27" t="inlineStr">
        <is>
          <t>追加材料</t>
        </is>
      </c>
    </row>
    <row r="28">
      <c r="A28" t="inlineStr">
        <is>
          <t>ポリネシアンソース</t>
        </is>
      </c>
      <c r="B28" t="inlineStr">
        <is>
          <t>サラダ油</t>
        </is>
      </c>
      <c r="C28" s="15" t="n">
        <v>1080</v>
      </c>
      <c r="D28" t="inlineStr">
        <is>
          <t>cc</t>
        </is>
      </c>
      <c r="E28" s="13">
        <f>IFERROR(VLOOKUP(B28,レシピ材料マスタ!$A$2:$F$48,6,FALSE),0)</f>
        <v/>
      </c>
      <c r="F28" s="15">
        <f>IFERROR(C28*E28,0)</f>
        <v/>
      </c>
      <c r="G28" s="15">
        <f>IF(OR(D28="cc",D28="ml",D28="g"),IFERROR(C28,0),0)</f>
        <v/>
      </c>
      <c r="H28" t="inlineStr"/>
    </row>
    <row r="29">
      <c r="A29" t="inlineStr">
        <is>
          <t>ポリネシアンソース</t>
        </is>
      </c>
      <c r="B29" t="inlineStr">
        <is>
          <t>ケチャップ</t>
        </is>
      </c>
      <c r="C29" s="15" t="n">
        <v>540</v>
      </c>
      <c r="D29" t="inlineStr">
        <is>
          <t>g</t>
        </is>
      </c>
      <c r="E29" s="13">
        <f>IFERROR(VLOOKUP(B29,レシピ材料マスタ!$A$2:$F$48,6,FALSE),0)</f>
        <v/>
      </c>
      <c r="F29" s="15">
        <f>IFERROR(C29*E29,0)</f>
        <v/>
      </c>
      <c r="G29" s="15">
        <f>IF(OR(D29="cc",D29="ml",D29="g"),IFERROR(C29,0),0)</f>
        <v/>
      </c>
      <c r="H29" t="inlineStr"/>
    </row>
    <row r="30">
      <c r="A30" t="inlineStr">
        <is>
          <t>ポリネシアンソース</t>
        </is>
      </c>
      <c r="B30" t="inlineStr">
        <is>
          <t>白ワイン</t>
        </is>
      </c>
      <c r="C30" s="15" t="n">
        <v>720</v>
      </c>
      <c r="D30" t="inlineStr">
        <is>
          <t>cc</t>
        </is>
      </c>
      <c r="E30" s="13">
        <f>IFERROR(VLOOKUP(B30,レシピ材料マスタ!$A$2:$F$48,6,FALSE),0)</f>
        <v/>
      </c>
      <c r="F30" s="15">
        <f>IFERROR(C30*E30,0)</f>
        <v/>
      </c>
      <c r="G30" s="15">
        <f>IF(OR(D30="cc",D30="ml",D30="g"),IFERROR(C30,0),0)</f>
        <v/>
      </c>
      <c r="H30" t="inlineStr"/>
    </row>
    <row r="31">
      <c r="A31" t="inlineStr">
        <is>
          <t>ポリネシアンソース</t>
        </is>
      </c>
      <c r="B31" t="inlineStr">
        <is>
          <t>りんご</t>
        </is>
      </c>
      <c r="C31" s="15" t="n">
        <v>4</v>
      </c>
      <c r="D31" t="inlineStr">
        <is>
          <t>個</t>
        </is>
      </c>
      <c r="E31" s="13">
        <f>IFERROR(VLOOKUP(B31,レシピ材料マスタ!$A$2:$F$48,6,FALSE),0)</f>
        <v/>
      </c>
      <c r="F31" s="15">
        <f>IFERROR(C31*E31,0)</f>
        <v/>
      </c>
      <c r="G31" s="15">
        <f>IF(OR(D31="cc",D31="ml",D31="g"),IFERROR(C31,0),0)</f>
        <v/>
      </c>
      <c r="H31" t="inlineStr"/>
    </row>
    <row r="32">
      <c r="A32" t="inlineStr">
        <is>
          <t>ポリネシアンソース</t>
        </is>
      </c>
      <c r="B32" t="inlineStr">
        <is>
          <t>玉ねぎ(個)</t>
        </is>
      </c>
      <c r="C32" s="15" t="n">
        <v>4</v>
      </c>
      <c r="D32" t="inlineStr">
        <is>
          <t>個</t>
        </is>
      </c>
      <c r="E32" s="13">
        <f>IFERROR(VLOOKUP(B32,レシピ材料マスタ!$A$2:$F$48,6,FALSE),0)</f>
        <v/>
      </c>
      <c r="F32" s="15">
        <f>IFERROR(C32*E32,0)</f>
        <v/>
      </c>
      <c r="G32" s="15">
        <f>IF(OR(D32="cc",D32="ml",D32="g"),IFERROR(C32,0),0)</f>
        <v/>
      </c>
      <c r="H32" t="inlineStr"/>
    </row>
    <row r="33">
      <c r="A33" t="inlineStr">
        <is>
          <t>ポリネシアンソース</t>
        </is>
      </c>
      <c r="B33" t="inlineStr">
        <is>
          <t>にんにく(個)</t>
        </is>
      </c>
      <c r="C33" s="15" t="n">
        <v>1</v>
      </c>
      <c r="D33" t="inlineStr">
        <is>
          <t>個</t>
        </is>
      </c>
      <c r="E33" s="13">
        <f>IFERROR(VLOOKUP(B33,レシピ材料マスタ!$A$2:$F$48,6,FALSE),0)</f>
        <v/>
      </c>
      <c r="F33" s="15">
        <f>IFERROR(C33*E33,0)</f>
        <v/>
      </c>
      <c r="G33" s="15">
        <f>IF(OR(D33="cc",D33="ml",D33="g"),IFERROR(C33,0),0)</f>
        <v/>
      </c>
      <c r="H33" t="inlineStr"/>
    </row>
    <row r="34">
      <c r="A34" t="inlineStr">
        <is>
          <t>ポリネシアンソース</t>
        </is>
      </c>
      <c r="B34" t="inlineStr">
        <is>
          <t>生姜</t>
        </is>
      </c>
      <c r="C34" s="15" t="n">
        <v>0</v>
      </c>
      <c r="D34" t="inlineStr">
        <is>
          <t>g</t>
        </is>
      </c>
      <c r="E34" s="13">
        <f>IFERROR(VLOOKUP(B34,レシピ材料マスタ!$A$2:$F$48,6,FALSE),0)</f>
        <v/>
      </c>
      <c r="F34" s="15">
        <f>IFERROR(C34*E34,0)</f>
        <v/>
      </c>
      <c r="G34" s="15">
        <f>IF(OR(D34="cc",D34="ml",D34="g"),IFERROR(C34,0),0)</f>
        <v/>
      </c>
      <c r="H34" t="inlineStr">
        <is>
          <t>適量（未確定・要実測）</t>
        </is>
      </c>
    </row>
    <row r="35">
      <c r="A35" t="inlineStr">
        <is>
          <t>ポリネシアンソース</t>
        </is>
      </c>
      <c r="B35" t="inlineStr">
        <is>
          <t>醤油</t>
        </is>
      </c>
      <c r="C35" s="15" t="n">
        <v>200</v>
      </c>
      <c r="D35" t="inlineStr">
        <is>
          <t>cc</t>
        </is>
      </c>
      <c r="E35" s="13">
        <f>IFERROR(VLOOKUP(B35,レシピ材料マスタ!$A$2:$F$48,6,FALSE),0)</f>
        <v/>
      </c>
      <c r="F35" s="15">
        <f>IFERROR(C35*E35,0)</f>
        <v/>
      </c>
      <c r="G35" s="15">
        <f>IF(OR(D35="cc",D35="ml",D35="g"),IFERROR(C35,0),0)</f>
        <v/>
      </c>
      <c r="H35" t="inlineStr">
        <is>
          <t>ミキシング後に追加</t>
        </is>
      </c>
    </row>
    <row r="36">
      <c r="A36" t="inlineStr">
        <is>
          <t>ポリネシアンソース</t>
        </is>
      </c>
      <c r="B36" t="inlineStr">
        <is>
          <t>チリペッパーパウダー</t>
        </is>
      </c>
      <c r="C36" s="15" t="n">
        <v>0</v>
      </c>
      <c r="D36" t="inlineStr">
        <is>
          <t>g</t>
        </is>
      </c>
      <c r="E36" s="13">
        <f>IFERROR(VLOOKUP(B36,レシピ材料マスタ!$A$2:$F$48,6,FALSE),0)</f>
        <v/>
      </c>
      <c r="F36" s="15">
        <f>IFERROR(C36*E36,0)</f>
        <v/>
      </c>
      <c r="G36" s="15">
        <f>IF(OR(D36="cc",D36="ml",D36="g"),IFERROR(C36,0),0)</f>
        <v/>
      </c>
      <c r="H36" t="inlineStr">
        <is>
          <t>適量・提供直前（未確定）</t>
        </is>
      </c>
    </row>
    <row r="37">
      <c r="A37" t="inlineStr">
        <is>
          <t>ソースジャンジャンブル</t>
        </is>
      </c>
      <c r="B37" t="inlineStr">
        <is>
          <t>玉ねぎ(g)</t>
        </is>
      </c>
      <c r="C37" s="15" t="n">
        <v>500</v>
      </c>
      <c r="D37" t="inlineStr">
        <is>
          <t>g</t>
        </is>
      </c>
      <c r="E37" s="13">
        <f>IFERROR(VLOOKUP(B37,レシピ材料マスタ!$A$2:$F$48,6,FALSE),0)</f>
        <v/>
      </c>
      <c r="F37" s="15">
        <f>IFERROR(C37*E37,0)</f>
        <v/>
      </c>
      <c r="G37" s="15">
        <f>IF(OR(D37="cc",D37="ml",D37="g"),IFERROR(C37,0),0)</f>
        <v/>
      </c>
      <c r="H37" t="inlineStr">
        <is>
          <t>ざく切り</t>
        </is>
      </c>
    </row>
    <row r="38">
      <c r="A38" t="inlineStr">
        <is>
          <t>ソースジャンジャンブル</t>
        </is>
      </c>
      <c r="B38" t="inlineStr">
        <is>
          <t>生姜</t>
        </is>
      </c>
      <c r="C38" s="15" t="n">
        <v>375</v>
      </c>
      <c r="D38" t="inlineStr">
        <is>
          <t>g</t>
        </is>
      </c>
      <c r="E38" s="13">
        <f>IFERROR(VLOOKUP(B38,レシピ材料マスタ!$A$2:$F$48,6,FALSE),0)</f>
        <v/>
      </c>
      <c r="F38" s="15">
        <f>IFERROR(C38*E38,0)</f>
        <v/>
      </c>
      <c r="G38" s="15">
        <f>IF(OR(D38="cc",D38="ml",D38="g"),IFERROR(C38,0),0)</f>
        <v/>
      </c>
      <c r="H38" t="inlineStr"/>
    </row>
    <row r="39">
      <c r="A39" t="inlineStr">
        <is>
          <t>ソースジャンジャンブル</t>
        </is>
      </c>
      <c r="B39" t="inlineStr">
        <is>
          <t>にんにく(株)</t>
        </is>
      </c>
      <c r="C39" s="15" t="n">
        <v>1</v>
      </c>
      <c r="D39" t="inlineStr">
        <is>
          <t>株</t>
        </is>
      </c>
      <c r="E39" s="13">
        <f>IFERROR(VLOOKUP(B39,レシピ材料マスタ!$A$2:$F$48,6,FALSE),0)</f>
        <v/>
      </c>
      <c r="F39" s="15">
        <f>IFERROR(C39*E39,0)</f>
        <v/>
      </c>
      <c r="G39" s="15">
        <f>IF(OR(D39="cc",D39="ml",D39="g"),IFERROR(C39,0),0)</f>
        <v/>
      </c>
      <c r="H39" t="inlineStr">
        <is>
          <t>芽をとる</t>
        </is>
      </c>
    </row>
    <row r="40">
      <c r="A40" t="inlineStr">
        <is>
          <t>ソースジャンジャンブル</t>
        </is>
      </c>
      <c r="B40" t="inlineStr">
        <is>
          <t>味醂</t>
        </is>
      </c>
      <c r="C40" s="15" t="n">
        <v>700</v>
      </c>
      <c r="D40" t="inlineStr">
        <is>
          <t>cc</t>
        </is>
      </c>
      <c r="E40" s="13">
        <f>IFERROR(VLOOKUP(B40,レシピ材料マスタ!$A$2:$F$48,6,FALSE),0)</f>
        <v/>
      </c>
      <c r="F40" s="15">
        <f>IFERROR(C40*E40,0)</f>
        <v/>
      </c>
      <c r="G40" s="15">
        <f>IF(OR(D40="cc",D40="ml",D40="g"),IFERROR(C40,0),0)</f>
        <v/>
      </c>
      <c r="H40" t="inlineStr"/>
    </row>
    <row r="41">
      <c r="A41" t="inlineStr">
        <is>
          <t>ソースジャンジャンブル</t>
        </is>
      </c>
      <c r="B41" t="inlineStr">
        <is>
          <t>白ワイン</t>
        </is>
      </c>
      <c r="C41" s="15" t="n">
        <v>270</v>
      </c>
      <c r="D41" t="inlineStr">
        <is>
          <t>ml</t>
        </is>
      </c>
      <c r="E41" s="13">
        <f>IFERROR(VLOOKUP(B41,レシピ材料マスタ!$A$2:$F$48,6,FALSE),0)</f>
        <v/>
      </c>
      <c r="F41" s="15">
        <f>IFERROR(C41*E41,0)</f>
        <v/>
      </c>
      <c r="G41" s="15">
        <f>IF(OR(D41="cc",D41="ml",D41="g"),IFERROR(C41,0),0)</f>
        <v/>
      </c>
      <c r="H41" t="inlineStr"/>
    </row>
    <row r="42">
      <c r="A42" t="inlineStr">
        <is>
          <t>ソースジャンジャンブル</t>
        </is>
      </c>
      <c r="B42" t="inlineStr">
        <is>
          <t>日本酒</t>
        </is>
      </c>
      <c r="C42" s="15" t="n">
        <v>270</v>
      </c>
      <c r="D42" t="inlineStr">
        <is>
          <t>cc</t>
        </is>
      </c>
      <c r="E42" s="13">
        <f>IFERROR(VLOOKUP(B42,レシピ材料マスタ!$A$2:$F$48,6,FALSE),0)</f>
        <v/>
      </c>
      <c r="F42" s="15">
        <f>IFERROR(C42*E42,0)</f>
        <v/>
      </c>
      <c r="G42" s="15">
        <f>IF(OR(D42="cc",D42="ml",D42="g"),IFERROR(C42,0),0)</f>
        <v/>
      </c>
      <c r="H42" t="inlineStr"/>
    </row>
    <row r="43">
      <c r="A43" t="inlineStr">
        <is>
          <t>ソースジャンジャンブル</t>
        </is>
      </c>
      <c r="B43" t="inlineStr">
        <is>
          <t>上白糖</t>
        </is>
      </c>
      <c r="C43" s="15" t="n">
        <v>75</v>
      </c>
      <c r="D43" t="inlineStr">
        <is>
          <t>g</t>
        </is>
      </c>
      <c r="E43" s="13">
        <f>IFERROR(VLOOKUP(B43,レシピ材料マスタ!$A$2:$F$48,6,FALSE),0)</f>
        <v/>
      </c>
      <c r="F43" s="15">
        <f>IFERROR(C43*E43,0)</f>
        <v/>
      </c>
      <c r="G43" s="15">
        <f>IF(OR(D43="cc",D43="ml",D43="g"),IFERROR(C43,0),0)</f>
        <v/>
      </c>
      <c r="H43" t="inlineStr"/>
    </row>
    <row r="44">
      <c r="A44" t="inlineStr">
        <is>
          <t>ソースジャンジャンブル</t>
        </is>
      </c>
      <c r="B44" t="inlineStr">
        <is>
          <t>レモン</t>
        </is>
      </c>
      <c r="C44" s="15" t="n">
        <v>1</v>
      </c>
      <c r="D44" t="inlineStr">
        <is>
          <t>個</t>
        </is>
      </c>
      <c r="E44" s="13">
        <f>IFERROR(VLOOKUP(B44,レシピ材料マスタ!$A$2:$F$48,6,FALSE),0)</f>
        <v/>
      </c>
      <c r="F44" s="15">
        <f>IFERROR(C44*E44,0)</f>
        <v/>
      </c>
      <c r="G44" s="15">
        <f>IF(OR(D44="cc",D44="ml",D44="g"),IFERROR(C44,0),0)</f>
        <v/>
      </c>
      <c r="H44" t="inlineStr"/>
    </row>
    <row r="45">
      <c r="A45" t="inlineStr">
        <is>
          <t>ソースジャンジャンブル</t>
        </is>
      </c>
      <c r="B45" t="inlineStr">
        <is>
          <t>醤油</t>
        </is>
      </c>
      <c r="C45" s="15" t="n">
        <v>900</v>
      </c>
      <c r="D45" t="inlineStr">
        <is>
          <t>cc</t>
        </is>
      </c>
      <c r="E45" s="13">
        <f>IFERROR(VLOOKUP(B45,レシピ材料マスタ!$A$2:$F$48,6,FALSE),0)</f>
        <v/>
      </c>
      <c r="F45" s="15">
        <f>IFERROR(C45*E45,0)</f>
        <v/>
      </c>
      <c r="G45" s="15">
        <f>IF(OR(D45="cc",D45="ml",D45="g"),IFERROR(C45,0),0)</f>
        <v/>
      </c>
      <c r="H45" t="inlineStr">
        <is>
          <t>ミキシング後に追加</t>
        </is>
      </c>
    </row>
    <row r="46">
      <c r="A46" t="inlineStr">
        <is>
          <t>エバラおろしのたれ</t>
        </is>
      </c>
      <c r="B46" t="inlineStr">
        <is>
          <t>エバラおろしのたれ</t>
        </is>
      </c>
      <c r="C46" s="15" t="n">
        <v>1000</v>
      </c>
      <c r="D46" t="inlineStr">
        <is>
          <t>cc</t>
        </is>
      </c>
      <c r="E46" s="13">
        <f>IFERROR(VLOOKUP(B46,レシピ材料マスタ!$A$2:$F$48,6,FALSE),0)</f>
        <v/>
      </c>
      <c r="F46" s="15">
        <f>IFERROR(C46*E46,0)</f>
        <v/>
      </c>
      <c r="G46" s="15">
        <f>IF(OR(D46="cc",D46="ml",D46="g"),IFERROR(C46,0),0)</f>
        <v/>
      </c>
      <c r="H46" t="inlineStr">
        <is>
          <t>市販品。1Lベースで単位原価を算出</t>
        </is>
      </c>
    </row>
    <row r="47">
      <c r="A47" t="inlineStr">
        <is>
          <t>粒マスタード単品</t>
        </is>
      </c>
      <c r="B47" t="inlineStr">
        <is>
          <t>粒マスタード</t>
        </is>
      </c>
      <c r="C47" s="15" t="n">
        <v>100</v>
      </c>
      <c r="D47" t="inlineStr">
        <is>
          <t>g</t>
        </is>
      </c>
      <c r="E47" s="13">
        <f>IFERROR(VLOOKUP(B47,レシピ材料マスタ!$A$2:$F$48,6,FALSE),0)</f>
        <v/>
      </c>
      <c r="F47" s="15">
        <f>IFERROR(C47*E47,0)</f>
        <v/>
      </c>
      <c r="G47" s="15">
        <f>IF(OR(D47="cc",D47="ml",D47="g"),IFERROR(C47,0),0)</f>
        <v/>
      </c>
      <c r="H47" t="inlineStr">
        <is>
          <t>そのまま提供（g単位）</t>
        </is>
      </c>
    </row>
    <row r="48">
      <c r="A48" t="inlineStr">
        <is>
          <t>サラダベース</t>
        </is>
      </c>
      <c r="B48" t="inlineStr">
        <is>
          <t>サニーレタス</t>
        </is>
      </c>
      <c r="C48" s="15" t="n">
        <v>6</v>
      </c>
      <c r="D48" t="inlineStr">
        <is>
          <t>個</t>
        </is>
      </c>
      <c r="E48" s="13">
        <f>IFERROR(VLOOKUP(B48,レシピ材料マスタ!$A$2:$F$48,6,FALSE),0)</f>
        <v/>
      </c>
      <c r="F48" s="15">
        <f>IFERROR(C48*E48,0)</f>
        <v/>
      </c>
      <c r="G48" s="15">
        <f>IF(OR(D48="cc",D48="ml",D48="g"),IFERROR(C48,0),0)</f>
        <v/>
      </c>
      <c r="H48" t="inlineStr">
        <is>
          <t>バッチレシピ</t>
        </is>
      </c>
    </row>
    <row r="49">
      <c r="A49" t="inlineStr">
        <is>
          <t>サラダベース</t>
        </is>
      </c>
      <c r="B49" t="inlineStr">
        <is>
          <t>水菜</t>
        </is>
      </c>
      <c r="C49" s="15" t="n">
        <v>6</v>
      </c>
      <c r="D49" t="inlineStr">
        <is>
          <t>束</t>
        </is>
      </c>
      <c r="E49" s="13">
        <f>IFERROR(VLOOKUP(B49,レシピ材料マスタ!$A$2:$F$48,6,FALSE),0)</f>
        <v/>
      </c>
      <c r="F49" s="15">
        <f>IFERROR(C49*E49,0)</f>
        <v/>
      </c>
      <c r="G49" s="15">
        <f>IF(OR(D49="cc",D49="ml",D49="g"),IFERROR(C49,0),0)</f>
        <v/>
      </c>
      <c r="H49" t="inlineStr">
        <is>
          <t>バッチレシピ</t>
        </is>
      </c>
    </row>
    <row r="50">
      <c r="A50" t="inlineStr">
        <is>
          <t>サラダベース</t>
        </is>
      </c>
      <c r="B50" t="inlineStr">
        <is>
          <t>白菜</t>
        </is>
      </c>
      <c r="C50" s="15" t="n">
        <v>0.5</v>
      </c>
      <c r="D50" t="inlineStr">
        <is>
          <t>個</t>
        </is>
      </c>
      <c r="E50" s="13">
        <f>IFERROR(VLOOKUP(B50,レシピ材料マスタ!$A$2:$F$48,6,FALSE),0)</f>
        <v/>
      </c>
      <c r="F50" s="15">
        <f>IFERROR(C50*E50,0)</f>
        <v/>
      </c>
      <c r="G50" s="15">
        <f>IF(OR(D50="cc",D50="ml",D50="g"),IFERROR(C50,0),0)</f>
        <v/>
      </c>
      <c r="H50" t="inlineStr">
        <is>
          <t>バッチレシピ（ハーフ）</t>
        </is>
      </c>
    </row>
    <row r="51">
      <c r="A51" t="inlineStr">
        <is>
          <t>サラダベース</t>
        </is>
      </c>
      <c r="B51" t="inlineStr">
        <is>
          <t>紫キャベツ</t>
        </is>
      </c>
      <c r="C51" s="15" t="n">
        <v>0.5</v>
      </c>
      <c r="D51" t="inlineStr">
        <is>
          <t>個</t>
        </is>
      </c>
      <c r="E51" s="13">
        <f>IFERROR(VLOOKUP(B51,レシピ材料マスタ!$A$2:$F$48,6,FALSE),0)</f>
        <v/>
      </c>
      <c r="F51" s="15">
        <f>IFERROR(C51*E51,0)</f>
        <v/>
      </c>
      <c r="G51" s="15">
        <f>IF(OR(D51="cc",D51="ml",D51="g"),IFERROR(C51,0),0)</f>
        <v/>
      </c>
      <c r="H51" t="inlineStr">
        <is>
          <t>バッチレシピ（ハーフ）</t>
        </is>
      </c>
    </row>
    <row r="52">
      <c r="A52" t="inlineStr">
        <is>
          <t>蒸し野菜</t>
        </is>
      </c>
      <c r="B52" t="inlineStr">
        <is>
          <t>キャベツ</t>
        </is>
      </c>
      <c r="C52" s="15" t="n">
        <v>2</v>
      </c>
      <c r="D52" t="inlineStr">
        <is>
          <t>個</t>
        </is>
      </c>
      <c r="E52" s="13">
        <f>IFERROR(VLOOKUP(B52,レシピ材料マスタ!$A$2:$F$48,6,FALSE),0)</f>
        <v/>
      </c>
      <c r="F52" s="15">
        <f>IFERROR(C52*E52,0)</f>
        <v/>
      </c>
      <c r="G52" s="15">
        <f>IF(OR(D52="cc",D52="ml",D52="g"),IFERROR(C52,0),0)</f>
        <v/>
      </c>
      <c r="H52" t="inlineStr">
        <is>
          <t>バッチレシピ</t>
        </is>
      </c>
    </row>
    <row r="53">
      <c r="A53" t="inlineStr">
        <is>
          <t>蒸し野菜</t>
        </is>
      </c>
      <c r="B53" t="inlineStr">
        <is>
          <t>白菜</t>
        </is>
      </c>
      <c r="C53" s="15" t="n">
        <v>0.5</v>
      </c>
      <c r="D53" t="inlineStr">
        <is>
          <t>個</t>
        </is>
      </c>
      <c r="E53" s="13">
        <f>IFERROR(VLOOKUP(B53,レシピ材料マスタ!$A$2:$F$48,6,FALSE),0)</f>
        <v/>
      </c>
      <c r="F53" s="15">
        <f>IFERROR(C53*E53,0)</f>
        <v/>
      </c>
      <c r="G53" s="15">
        <f>IF(OR(D53="cc",D53="ml",D53="g"),IFERROR(C53,0),0)</f>
        <v/>
      </c>
      <c r="H53" t="inlineStr">
        <is>
          <t>バッチレシピ（ハーフ）</t>
        </is>
      </c>
    </row>
    <row r="54">
      <c r="A54" t="inlineStr">
        <is>
          <t>蒸し野菜</t>
        </is>
      </c>
      <c r="B54" t="inlineStr">
        <is>
          <t>人参</t>
        </is>
      </c>
      <c r="C54" s="15" t="n">
        <v>3</v>
      </c>
      <c r="D54" t="inlineStr">
        <is>
          <t>本</t>
        </is>
      </c>
      <c r="E54" s="13">
        <f>IFERROR(VLOOKUP(B54,レシピ材料マスタ!$A$2:$F$48,6,FALSE),0)</f>
        <v/>
      </c>
      <c r="F54" s="15">
        <f>IFERROR(C54*E54,0)</f>
        <v/>
      </c>
      <c r="G54" s="15">
        <f>IF(OR(D54="cc",D54="ml",D54="g"),IFERROR(C54,0),0)</f>
        <v/>
      </c>
      <c r="H54" t="inlineStr">
        <is>
          <t>バッチレシピ（にんじん）</t>
        </is>
      </c>
    </row>
    <row r="55">
      <c r="A55" t="inlineStr">
        <is>
          <t>蒸し野菜</t>
        </is>
      </c>
      <c r="B55" t="inlineStr">
        <is>
          <t>玉ねぎ(個)</t>
        </is>
      </c>
      <c r="C55" s="15" t="n">
        <v>3</v>
      </c>
      <c r="D55" t="inlineStr">
        <is>
          <t>個</t>
        </is>
      </c>
      <c r="E55" s="13">
        <f>IFERROR(VLOOKUP(B55,レシピ材料マスタ!$A$2:$F$48,6,FALSE),0)</f>
        <v/>
      </c>
      <c r="F55" s="15">
        <f>IFERROR(C55*E55,0)</f>
        <v/>
      </c>
      <c r="G55" s="15">
        <f>IF(OR(D55="cc",D55="ml",D55="g"),IFERROR(C55,0),0)</f>
        <v/>
      </c>
      <c r="H55" t="inlineStr">
        <is>
          <t>バッチレシピ</t>
        </is>
      </c>
    </row>
    <row r="56">
      <c r="A56" t="inlineStr">
        <is>
          <t>蒸し野菜</t>
        </is>
      </c>
      <c r="B56" t="inlineStr">
        <is>
          <t>もやし</t>
        </is>
      </c>
      <c r="C56" s="15" t="n">
        <v>8000</v>
      </c>
      <c r="D56" t="inlineStr">
        <is>
          <t>g</t>
        </is>
      </c>
      <c r="E56" s="13">
        <f>IFERROR(VLOOKUP(B56,レシピ材料マスタ!$A$2:$F$48,6,FALSE),0)</f>
        <v/>
      </c>
      <c r="F56" s="15">
        <f>IFERROR(C56*E56,0)</f>
        <v/>
      </c>
      <c r="G56" s="15">
        <f>IF(OR(D56="cc",D56="ml",D56="g"),IFERROR(C56,0),0)</f>
        <v/>
      </c>
      <c r="H56" t="inlineStr">
        <is>
          <t>バッチレシピ（8kg）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5C5A4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18" customWidth="1" min="4" max="4"/>
    <col width="22" customWidth="1" min="5" max="5"/>
    <col width="12" customWidth="1" min="6" max="6"/>
    <col width="40" customWidth="1" min="7" max="7"/>
  </cols>
  <sheetData>
    <row r="1">
      <c r="A1" s="11" t="inlineStr">
        <is>
          <t>ソース名</t>
        </is>
      </c>
      <c r="B1" s="11" t="inlineStr">
        <is>
          <t>バッチ材料費（税抜・円）</t>
        </is>
      </c>
      <c r="C1" s="11" t="inlineStr">
        <is>
          <t>バッチ出来上がり量（cc/g 上書き可）</t>
        </is>
      </c>
      <c r="D1" s="11" t="inlineStr">
        <is>
          <t>出来上がり量（最終）</t>
        </is>
      </c>
      <c r="E1" s="11" t="inlineStr">
        <is>
          <t>単位原価（税抜・円/cc）</t>
        </is>
      </c>
      <c r="F1" s="11" t="inlineStr">
        <is>
          <t>基準</t>
        </is>
      </c>
      <c r="G1" s="11" t="inlineStr">
        <is>
          <t>備考</t>
        </is>
      </c>
    </row>
    <row r="2">
      <c r="A2" t="inlineStr">
        <is>
          <t>ハンバーグソース</t>
        </is>
      </c>
      <c r="B2" s="15">
        <f>SUMIFS(ソースレシピマスタ!$F$2:$F$56,ソースレシピマスタ!$A$2:$A$56,A2)</f>
        <v/>
      </c>
      <c r="C2" s="17" t="n"/>
      <c r="D2" s="15">
        <f>IF(ISNUMBER(C2),C2,SUMIFS(ソースレシピマスタ!$G$2:$G$56,ソースレシピマスタ!$A$2:$A$56,A2))</f>
        <v/>
      </c>
      <c r="E2" s="13">
        <f>IFERROR(B2/D2,0)</f>
        <v/>
      </c>
      <c r="F2" t="inlineStr">
        <is>
          <t>batch</t>
        </is>
      </c>
      <c r="G2" t="inlineStr">
        <is>
          <t>バッチ合計（味醂+醤油+水+粒マスタード等）の合算をccベースで使用</t>
        </is>
      </c>
    </row>
    <row r="3">
      <c r="A3" t="inlineStr">
        <is>
          <t>ブールブランソース</t>
        </is>
      </c>
      <c r="B3" s="15">
        <f>SUMIFS(ソースレシピマスタ!$F$2:$F$56,ソースレシピマスタ!$A$2:$A$56,A3)</f>
        <v/>
      </c>
      <c r="C3" s="17" t="n">
        <v>30</v>
      </c>
      <c r="D3" s="15">
        <f>IF(ISNUMBER(C3),C3,SUMIFS(ソースレシピマスタ!$G$2:$G$56,ソースレシピマスタ!$A$2:$A$56,A3))</f>
        <v/>
      </c>
      <c r="E3" s="13">
        <f>IFERROR(B3/D3,0)</f>
        <v/>
      </c>
      <c r="F3" t="inlineStr">
        <is>
          <t>per_serving</t>
        </is>
      </c>
      <c r="G3" t="inlineStr">
        <is>
          <t>1食=30cc 完成。レシピは1食分で記載</t>
        </is>
      </c>
    </row>
    <row r="4">
      <c r="A4" t="inlineStr">
        <is>
          <t>オニオンソース</t>
        </is>
      </c>
      <c r="B4" s="15">
        <f>SUMIFS(ソースレシピマスタ!$F$2:$F$56,ソースレシピマスタ!$A$2:$A$56,A4)</f>
        <v/>
      </c>
      <c r="C4" s="17" t="n"/>
      <c r="D4" s="15">
        <f>IF(ISNUMBER(C4),C4,SUMIFS(ソースレシピマスタ!$G$2:$G$56,ソースレシピマスタ!$A$2:$A$56,A4))</f>
        <v/>
      </c>
      <c r="E4" s="13">
        <f>IFERROR(B4/D4,0)</f>
        <v/>
      </c>
      <c r="F4" t="inlineStr">
        <is>
          <t>batch</t>
        </is>
      </c>
      <c r="G4" t="inlineStr">
        <is>
          <t>オニオンステーキソース2L + ニンニク醤油ソース300cc</t>
        </is>
      </c>
    </row>
    <row r="5">
      <c r="A5" t="inlineStr">
        <is>
          <t>ピクルス</t>
        </is>
      </c>
      <c r="B5" s="15">
        <f>SUMIFS(ソースレシピマスタ!$F$2:$F$56,ソースレシピマスタ!$A$2:$A$56,A5)</f>
        <v/>
      </c>
      <c r="C5" s="17" t="n">
        <v>9200</v>
      </c>
      <c r="D5" s="15">
        <f>IF(ISNUMBER(C5),C5,SUMIFS(ソースレシピマスタ!$G$2:$G$56,ソースレシピマスタ!$A$2:$A$56,A5))</f>
        <v/>
      </c>
      <c r="E5" s="13">
        <f>IFERROR(B5/D5,0)</f>
        <v/>
      </c>
      <c r="F5" t="inlineStr">
        <is>
          <t>batch</t>
        </is>
      </c>
      <c r="G5" t="inlineStr">
        <is>
          <t>出来上がり9,200g＝生11,600g→可食部10,670g(廃棄率反映)→塩漬け×85%→水晒し×105%→水切り×97%。調味液は最終的に切るため重量加算なし</t>
        </is>
      </c>
    </row>
    <row r="6">
      <c r="A6" t="inlineStr">
        <is>
          <t>ポリネシアンソース</t>
        </is>
      </c>
      <c r="B6" s="15">
        <f>SUMIFS(ソースレシピマスタ!$F$2:$F$56,ソースレシピマスタ!$A$2:$A$56,A6)</f>
        <v/>
      </c>
      <c r="C6" s="17" t="n"/>
      <c r="D6" s="15">
        <f>IF(ISNUMBER(C6),C6,SUMIFS(ソースレシピマスタ!$G$2:$G$56,ソースレシピマスタ!$A$2:$A$56,A6))</f>
        <v/>
      </c>
      <c r="E6" s="13">
        <f>IFERROR(B6/D6,0)</f>
        <v/>
      </c>
      <c r="F6" t="inlineStr">
        <is>
          <t>batch</t>
        </is>
      </c>
      <c r="G6" t="inlineStr">
        <is>
          <t>サラダ油+ケチャップ+白ワイン+醤油の合算をccベースで使用</t>
        </is>
      </c>
    </row>
    <row r="7">
      <c r="A7" t="inlineStr">
        <is>
          <t>ソースジャンジャンブル</t>
        </is>
      </c>
      <c r="B7" s="15">
        <f>SUMIFS(ソースレシピマスタ!$F$2:$F$56,ソースレシピマスタ!$A$2:$A$56,A7)</f>
        <v/>
      </c>
      <c r="C7" s="17" t="n"/>
      <c r="D7" s="15">
        <f>IF(ISNUMBER(C7),C7,SUMIFS(ソースレシピマスタ!$G$2:$G$56,ソースレシピマスタ!$A$2:$A$56,A7))</f>
        <v/>
      </c>
      <c r="E7" s="13">
        <f>IFERROR(B7/D7,0)</f>
        <v/>
      </c>
      <c r="F7" t="inlineStr">
        <is>
          <t>batch</t>
        </is>
      </c>
      <c r="G7" t="inlineStr">
        <is>
          <t>液体材料の合計をccベースで使用</t>
        </is>
      </c>
    </row>
    <row r="8">
      <c r="A8" t="inlineStr">
        <is>
          <t>エバラおろしのたれ</t>
        </is>
      </c>
      <c r="B8" s="15">
        <f>SUMIFS(ソースレシピマスタ!$F$2:$F$56,ソースレシピマスタ!$A$2:$A$56,A8)</f>
        <v/>
      </c>
      <c r="C8" s="17" t="n"/>
      <c r="D8" s="15">
        <f>IF(ISNUMBER(C8),C8,SUMIFS(ソースレシピマスタ!$G$2:$G$56,ソースレシピマスタ!$A$2:$A$56,A8))</f>
        <v/>
      </c>
      <c r="E8" s="13">
        <f>IFERROR(B8/D8,0)</f>
        <v/>
      </c>
      <c r="F8" t="inlineStr">
        <is>
          <t>market</t>
        </is>
      </c>
      <c r="G8" t="inlineStr">
        <is>
          <t>市販品。1Lあたりの単位原価で計算（業者単価で自動更新）</t>
        </is>
      </c>
    </row>
    <row r="9">
      <c r="A9" t="inlineStr">
        <is>
          <t>粒マスタード単品</t>
        </is>
      </c>
      <c r="B9" s="15">
        <f>SUMIFS(ソースレシピマスタ!$F$2:$F$56,ソースレシピマスタ!$A$2:$A$56,A9)</f>
        <v/>
      </c>
      <c r="C9" s="17" t="n"/>
      <c r="D9" s="15">
        <f>IF(ISNUMBER(C9),C9,SUMIFS(ソースレシピマスタ!$G$2:$G$56,ソースレシピマスタ!$A$2:$A$56,A9))</f>
        <v/>
      </c>
      <c r="E9" s="13">
        <f>IFERROR(B9/D9,0)</f>
        <v/>
      </c>
      <c r="F9" t="inlineStr">
        <is>
          <t>condiment</t>
        </is>
      </c>
      <c r="G9" t="inlineStr">
        <is>
          <t>そのまま提供。g単位</t>
        </is>
      </c>
    </row>
    <row r="10">
      <c r="A10" t="inlineStr">
        <is>
          <t>サラダベース</t>
        </is>
      </c>
      <c r="B10" s="15">
        <f>SUMIFS(ソースレシピマスタ!$F$2:$F$56,ソースレシピマスタ!$A$2:$A$56,A10)</f>
        <v/>
      </c>
      <c r="C10" s="17" t="n"/>
      <c r="D10" s="15">
        <f>IF(ISNUMBER(C10),C10,SUMIFS(ソースレシピマスタ!$G$2:$G$56,ソースレシピマスタ!$A$2:$A$56,A10))</f>
        <v/>
      </c>
      <c r="E10" s="13">
        <f>IFERROR(B10/D10,0)</f>
        <v/>
      </c>
      <c r="F10" t="inlineStr">
        <is>
          <t>batch</t>
        </is>
      </c>
      <c r="G10" t="inlineStr">
        <is>
          <t>出来上がり量は C列に実測値を入力（個・束だけのため自動合計不可）</t>
        </is>
      </c>
    </row>
    <row r="11">
      <c r="A11" t="inlineStr">
        <is>
          <t>ポテトサラダ</t>
        </is>
      </c>
      <c r="B11" s="15">
        <f>SUMIFS(ソースレシピマスタ!$F$2:$F$56,ソースレシピマスタ!$A$2:$A$56,A11)</f>
        <v/>
      </c>
      <c r="C11" s="17" t="n"/>
      <c r="D11" s="15">
        <f>IF(ISNUMBER(C11),C11,SUMIFS(ソースレシピマスタ!$G$2:$G$56,ソースレシピマスタ!$A$2:$A$56,A11))</f>
        <v/>
      </c>
      <c r="E11" s="13">
        <f>IFERROR(B11/D11,0)</f>
        <v/>
      </c>
      <c r="F11" t="inlineStr">
        <is>
          <t>batch</t>
        </is>
      </c>
      <c r="G11" t="inlineStr">
        <is>
          <t>レシピ未受領。出来上がり量と材料を後で入力</t>
        </is>
      </c>
    </row>
    <row r="12">
      <c r="A12" t="inlineStr">
        <is>
          <t>蒸し野菜</t>
        </is>
      </c>
      <c r="B12" s="15">
        <f>SUMIFS(ソースレシピマスタ!$F$2:$F$56,ソースレシピマスタ!$A$2:$A$56,A12)</f>
        <v/>
      </c>
      <c r="C12" s="17" t="n">
        <v>10280</v>
      </c>
      <c r="D12" s="15">
        <f>IF(ISNUMBER(C12),C12,SUMIFS(ソースレシピマスタ!$G$2:$G$56,ソースレシピマスタ!$A$2:$A$56,A12))</f>
        <v/>
      </c>
      <c r="E12" s="13">
        <f>IFERROR(B12/D12,0)</f>
        <v/>
      </c>
      <c r="F12" t="inlineStr">
        <is>
          <t>batch</t>
        </is>
      </c>
      <c r="G12" t="inlineStr">
        <is>
          <t>蒸し後重量(g)＝生重量12,850g×80%歩留まり仮算。キャベツ2×1200+白菜0.5×2500+にんじん3×180+玉ねぎ3×220+もやし8000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8860B"/>
    <outlinePr summaryBelow="1" summaryRight="1"/>
    <pageSetUpPr/>
  </sheetPr>
  <dimension ref="A1:AC2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12" customWidth="1" min="4" max="4"/>
    <col width="14" customWidth="1" min="5" max="5"/>
    <col width="7" customWidth="1" min="6" max="6"/>
    <col width="14" customWidth="1" min="7" max="7"/>
    <col width="7" customWidth="1" min="8" max="8"/>
    <col width="6" customWidth="1" min="9" max="9"/>
    <col width="6" customWidth="1" min="10" max="10"/>
    <col width="6" customWidth="1" min="11" max="11"/>
    <col width="6" customWidth="1" min="12" max="12"/>
    <col width="7" customWidth="1" min="13" max="13"/>
    <col width="7" customWidth="1" min="14" max="14"/>
    <col width="8" customWidth="1" min="15" max="15"/>
    <col width="10" customWidth="1" min="16" max="16"/>
    <col width="14" customWidth="1" min="17" max="17"/>
    <col width="8" customWidth="1" min="18" max="18"/>
    <col width="14" customWidth="1" min="19" max="19"/>
    <col width="8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4" customWidth="1" min="26" max="26"/>
    <col width="14" customWidth="1" min="27" max="27"/>
    <col width="9" customWidth="1" min="28" max="28"/>
    <col width="9" customWidth="1" min="29" max="29"/>
  </cols>
  <sheetData>
    <row r="1" ht="32" customHeight="1">
      <c r="A1" s="18" t="inlineStr">
        <is>
          <t>ID</t>
        </is>
      </c>
      <c r="B1" s="18" t="inlineStr">
        <is>
          <t>メニュー名</t>
        </is>
      </c>
      <c r="C1" s="18" t="inlineStr">
        <is>
          <t>分類</t>
        </is>
      </c>
      <c r="D1" s="18" t="inlineStr">
        <is>
          <t>販売価格（税込）</t>
        </is>
      </c>
      <c r="E1" s="18" t="inlineStr">
        <is>
          <t>食材1</t>
        </is>
      </c>
      <c r="F1" s="18" t="inlineStr">
        <is>
          <t>量1</t>
        </is>
      </c>
      <c r="G1" s="18" t="inlineStr">
        <is>
          <t>食材2</t>
        </is>
      </c>
      <c r="H1" s="18" t="inlineStr">
        <is>
          <t>量2</t>
        </is>
      </c>
      <c r="I1" s="18" t="inlineStr">
        <is>
          <t>ピクルス</t>
        </is>
      </c>
      <c r="J1" s="18" t="inlineStr">
        <is>
          <t>ポテトサラダ</t>
        </is>
      </c>
      <c r="K1" s="18" t="inlineStr">
        <is>
          <t>卵</t>
        </is>
      </c>
      <c r="L1" s="18" t="inlineStr">
        <is>
          <t>ご飯</t>
        </is>
      </c>
      <c r="M1" s="18" t="inlineStr">
        <is>
          <t>かぼちゃ</t>
        </is>
      </c>
      <c r="N1" s="18" t="inlineStr">
        <is>
          <t>小エビ</t>
        </is>
      </c>
      <c r="O1" s="18" t="inlineStr">
        <is>
          <t>有頭エビ</t>
        </is>
      </c>
      <c r="P1" s="18" t="inlineStr">
        <is>
          <t>飲料ID</t>
        </is>
      </c>
      <c r="Q1" s="18" t="inlineStr">
        <is>
          <t>ソース1</t>
        </is>
      </c>
      <c r="R1" s="18" t="inlineStr">
        <is>
          <t>ソース量1</t>
        </is>
      </c>
      <c r="S1" s="18" t="inlineStr">
        <is>
          <t>ソース2</t>
        </is>
      </c>
      <c r="T1" s="18" t="inlineStr">
        <is>
          <t>ソース量2</t>
        </is>
      </c>
      <c r="U1" s="18" t="inlineStr">
        <is>
          <t>主食材原価</t>
        </is>
      </c>
      <c r="V1" s="18" t="inlineStr">
        <is>
          <t>サイド原価</t>
        </is>
      </c>
      <c r="W1" s="18" t="inlineStr">
        <is>
          <t>資材原価</t>
        </is>
      </c>
      <c r="X1" s="18" t="inlineStr">
        <is>
          <t>ソース原価</t>
        </is>
      </c>
      <c r="Y1" s="18" t="inlineStr">
        <is>
          <t>飲料原価</t>
        </is>
      </c>
      <c r="Z1" s="18" t="inlineStr">
        <is>
          <t>合計原価（税抜）</t>
        </is>
      </c>
      <c r="AA1" s="18" t="inlineStr">
        <is>
          <t>販売価格（税抜）</t>
        </is>
      </c>
      <c r="AB1" s="18" t="inlineStr">
        <is>
          <t>原価率</t>
        </is>
      </c>
      <c r="AC1" s="18" t="inlineStr">
        <is>
          <t>利益率</t>
        </is>
      </c>
    </row>
    <row r="2">
      <c r="A2" s="19" t="n">
        <v>1</v>
      </c>
      <c r="B2" s="19" t="inlineStr">
        <is>
          <t>赤城牛のハンバーグ弁当</t>
        </is>
      </c>
      <c r="C2" s="19" t="inlineStr">
        <is>
          <t>黒弁当</t>
        </is>
      </c>
      <c r="D2" s="20" t="n">
        <v>2000</v>
      </c>
      <c r="E2" s="19" t="inlineStr">
        <is>
          <t>150gバーグ</t>
        </is>
      </c>
      <c r="F2" s="19" t="n">
        <v>1</v>
      </c>
      <c r="G2" s="19" t="n"/>
      <c r="H2" s="19" t="n"/>
      <c r="I2" s="19" t="n">
        <v>1</v>
      </c>
      <c r="J2" s="19" t="n">
        <v>1</v>
      </c>
      <c r="K2" s="19" t="n">
        <v>1</v>
      </c>
      <c r="L2" s="19" t="n">
        <v>1</v>
      </c>
      <c r="M2" s="19" t="n">
        <v>1</v>
      </c>
      <c r="N2" s="19" t="n">
        <v>1</v>
      </c>
      <c r="O2" s="19" t="n">
        <v>0</v>
      </c>
      <c r="P2" s="19" t="inlineStr">
        <is>
          <t>none</t>
        </is>
      </c>
      <c r="Q2" s="21" t="inlineStr">
        <is>
          <t>ハンバーグソース</t>
        </is>
      </c>
      <c r="R2" s="21" t="n">
        <v>40</v>
      </c>
      <c r="S2" s="21" t="n"/>
      <c r="T2" s="21" t="n"/>
      <c r="U2" s="20">
        <f>IFERROR(VLOOKUP(E2,食材マスタ!$A$2:$F$17,6,FALSE)*F2,0)+IFERROR(VLOOKUP(G2,食材マスタ!$A$2:$F$17,6,FALSE)*H2,0)</f>
        <v/>
      </c>
      <c r="V2" s="20">
        <f>IFERROR(I2*IF($C2="黒弁当",IFERROR(VLOOKUP("ピクルス",サイドマスタ!$A:$F,3,FALSE),0),IFERROR(VLOOKUP("ピクルス",サイドマスタ!$A:$F,4,FALSE),0))*IFERROR(VLOOKUP("ピクルス",サイドマスタ!$A:$F,5,FALSE),0),0)+IFERROR(J2*IF($C2="黒弁当",IFERROR(VLOOKUP("ポテトサラダ",サイドマスタ!$A:$F,3,FALSE),0),IFERROR(VLOOKUP("ポテトサラダ",サイドマスタ!$A:$F,4,FALSE),0))*IFERROR(VLOOKUP("ポテトサラダ",サイドマスタ!$A:$F,5,FALSE),0),0)+IFERROR(K2*IF($C2="黒弁当",IFERROR(VLOOKUP("卵",サイドマスタ!$A:$F,3,FALSE),0),IFERROR(VLOOKUP("卵",サイドマスタ!$A:$F,4,FALSE),0))*IFERROR(VLOOKUP("卵",サイドマスタ!$A:$F,5,FALSE),0),0)+IFERROR(L2*IF($C2="黒弁当",IFERROR(VLOOKUP("ご飯",サイドマスタ!$A:$F,3,FALSE),0),IFERROR(VLOOKUP("ご飯",サイドマスタ!$A:$F,4,FALSE),0))*IFERROR(VLOOKUP("ご飯",サイドマスタ!$A:$F,5,FALSE),0),0)+IFERROR(M2*IF($C2="黒弁当",IFERROR(VLOOKUP("かぼちゃ",サイドマスタ!$A:$F,3,FALSE),0),IFERROR(VLOOKUP("かぼちゃ",サイドマスタ!$A:$F,4,FALSE),0))*IFERROR(VLOOKUP("かぼちゃ",サイドマスタ!$A:$F,5,FALSE),0),0)+IFERROR(N2*IF($C2="黒弁当",IFERROR(VLOOKUP("小エビ",サイドマスタ!$A:$F,3,FALSE),0),IFERROR(VLOOKUP("小エビ",サイドマスタ!$A:$F,4,FALSE),0))*IFERROR(VLOOKUP("小エビ",サイドマスタ!$A:$F,5,FALSE),0),0)+IFERROR(O2*IF($C2="黒弁当",IFERROR(VLOOKUP("有頭エビ",サイドマスタ!$A:$F,3,FALSE),0),IFERROR(VLOOKUP("有頭エビ",サイドマスタ!$A:$F,4,FALSE),0))*IFERROR(VLOOKUP("有頭エビ",サイドマスタ!$A:$F,5,FALSE),0),0)+IFERROR(IF($C2="黒弁当",IFERROR(VLOOKUP("サラダベース",サイドマスタ!$A:$F,3,FALSE),0),IFERROR(VLOOKUP("サラダベース",サイドマスタ!$A:$F,4,FALSE),0))*IFERROR(VLOOKUP("サラダベース",サイドマスタ!$A:$F,5,FALSE),0),0)+IFERROR(IF($C2="黒弁当",IFERROR(VLOOKUP("ミニトマト",サイドマスタ!$A:$F,3,FALSE),0),IFERROR(VLOOKUP("ミニトマト",サイドマスタ!$A:$F,4,FALSE),0))*IFERROR(VLOOKUP("ミニトマト",サイドマスタ!$A:$F,5,FALSE),0),0)+IFERROR(IF($C2="黒弁当",IFERROR(VLOOKUP("蒸し野菜",サイドマスタ!$A:$F,3,FALSE),0),IFERROR(VLOOKUP("蒸し野菜",サイドマスタ!$A:$F,4,FALSE),0))*IFERROR(VLOOKUP("蒸し野菜",サイドマスタ!$A:$F,5,FALSE),0),0)+IFERROR(IF($C2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2" s="20">
        <f>IF(C2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2" s="20">
        <f>IFERROR(VLOOKUP(Q2,ソース定義マスタ!$A$2:$E$12,5,FALSE)*R2,0)+IFERROR(VLOOKUP(S2,ソース定義マスタ!$A$2:$E$12,5,FALSE)*T2,0)</f>
        <v/>
      </c>
      <c r="Y2" s="20">
        <f>IFERROR(VLOOKUP(P2,飲料マスタ!$A$2:$D$5,4,FALSE),0)</f>
        <v/>
      </c>
      <c r="Z2" s="22">
        <f>U2+V2+W2+X2+Y2</f>
        <v/>
      </c>
      <c r="AA2" s="20">
        <f>D2/1.08</f>
        <v/>
      </c>
      <c r="AB2" s="23">
        <f>IFERROR(Z2/AA2,0)</f>
        <v/>
      </c>
      <c r="AC2" s="23">
        <f>IFERROR(1-AB2,0)</f>
        <v/>
      </c>
    </row>
    <row r="3">
      <c r="A3" s="19" t="n">
        <v>2</v>
      </c>
      <c r="B3" s="19" t="inlineStr">
        <is>
          <t>特選ハラミのステーキ弁当</t>
        </is>
      </c>
      <c r="C3" s="19" t="inlineStr">
        <is>
          <t>黒弁当</t>
        </is>
      </c>
      <c r="D3" s="20" t="n">
        <v>2160</v>
      </c>
      <c r="E3" s="19" t="inlineStr">
        <is>
          <t>ハラミ</t>
        </is>
      </c>
      <c r="F3" s="19" t="n">
        <v>105</v>
      </c>
      <c r="G3" s="19" t="n"/>
      <c r="H3" s="19" t="n"/>
      <c r="I3" s="19" t="n">
        <v>1</v>
      </c>
      <c r="J3" s="19" t="n">
        <v>1</v>
      </c>
      <c r="K3" s="19" t="n">
        <v>1</v>
      </c>
      <c r="L3" s="19" t="n">
        <v>1</v>
      </c>
      <c r="M3" s="19" t="n">
        <v>1</v>
      </c>
      <c r="N3" s="19" t="n">
        <v>1</v>
      </c>
      <c r="O3" s="19" t="n">
        <v>0</v>
      </c>
      <c r="P3" s="19" t="inlineStr">
        <is>
          <t>none</t>
        </is>
      </c>
      <c r="Q3" s="21" t="inlineStr">
        <is>
          <t>オニオンソース</t>
        </is>
      </c>
      <c r="R3" s="21" t="n">
        <v>30</v>
      </c>
      <c r="S3" s="21" t="n"/>
      <c r="T3" s="21" t="n"/>
      <c r="U3" s="20">
        <f>IFERROR(VLOOKUP(E3,食材マスタ!$A$2:$F$17,6,FALSE)*F3,0)+IFERROR(VLOOKUP(G3,食材マスタ!$A$2:$F$17,6,FALSE)*H3,0)</f>
        <v/>
      </c>
      <c r="V3" s="20">
        <f>IFERROR(I3*IF($C3="黒弁当",IFERROR(VLOOKUP("ピクルス",サイドマスタ!$A:$F,3,FALSE),0),IFERROR(VLOOKUP("ピクルス",サイドマスタ!$A:$F,4,FALSE),0))*IFERROR(VLOOKUP("ピクルス",サイドマスタ!$A:$F,5,FALSE),0),0)+IFERROR(J3*IF($C3="黒弁当",IFERROR(VLOOKUP("ポテトサラダ",サイドマスタ!$A:$F,3,FALSE),0),IFERROR(VLOOKUP("ポテトサラダ",サイドマスタ!$A:$F,4,FALSE),0))*IFERROR(VLOOKUP("ポテトサラダ",サイドマスタ!$A:$F,5,FALSE),0),0)+IFERROR(K3*IF($C3="黒弁当",IFERROR(VLOOKUP("卵",サイドマスタ!$A:$F,3,FALSE),0),IFERROR(VLOOKUP("卵",サイドマスタ!$A:$F,4,FALSE),0))*IFERROR(VLOOKUP("卵",サイドマスタ!$A:$F,5,FALSE),0),0)+IFERROR(L3*IF($C3="黒弁当",IFERROR(VLOOKUP("ご飯",サイドマスタ!$A:$F,3,FALSE),0),IFERROR(VLOOKUP("ご飯",サイドマスタ!$A:$F,4,FALSE),0))*IFERROR(VLOOKUP("ご飯",サイドマスタ!$A:$F,5,FALSE),0),0)+IFERROR(M3*IF($C3="黒弁当",IFERROR(VLOOKUP("かぼちゃ",サイドマスタ!$A:$F,3,FALSE),0),IFERROR(VLOOKUP("かぼちゃ",サイドマスタ!$A:$F,4,FALSE),0))*IFERROR(VLOOKUP("かぼちゃ",サイドマスタ!$A:$F,5,FALSE),0),0)+IFERROR(N3*IF($C3="黒弁当",IFERROR(VLOOKUP("小エビ",サイドマスタ!$A:$F,3,FALSE),0),IFERROR(VLOOKUP("小エビ",サイドマスタ!$A:$F,4,FALSE),0))*IFERROR(VLOOKUP("小エビ",サイドマスタ!$A:$F,5,FALSE),0),0)+IFERROR(O3*IF($C3="黒弁当",IFERROR(VLOOKUP("有頭エビ",サイドマスタ!$A:$F,3,FALSE),0),IFERROR(VLOOKUP("有頭エビ",サイドマスタ!$A:$F,4,FALSE),0))*IFERROR(VLOOKUP("有頭エビ",サイドマスタ!$A:$F,5,FALSE),0),0)+IFERROR(IF($C3="黒弁当",IFERROR(VLOOKUP("サラダベース",サイドマスタ!$A:$F,3,FALSE),0),IFERROR(VLOOKUP("サラダベース",サイドマスタ!$A:$F,4,FALSE),0))*IFERROR(VLOOKUP("サラダベース",サイドマスタ!$A:$F,5,FALSE),0),0)+IFERROR(IF($C3="黒弁当",IFERROR(VLOOKUP("ミニトマト",サイドマスタ!$A:$F,3,FALSE),0),IFERROR(VLOOKUP("ミニトマト",サイドマスタ!$A:$F,4,FALSE),0))*IFERROR(VLOOKUP("ミニトマト",サイドマスタ!$A:$F,5,FALSE),0),0)+IFERROR(IF($C3="黒弁当",IFERROR(VLOOKUP("蒸し野菜",サイドマスタ!$A:$F,3,FALSE),0),IFERROR(VLOOKUP("蒸し野菜",サイドマスタ!$A:$F,4,FALSE),0))*IFERROR(VLOOKUP("蒸し野菜",サイドマスタ!$A:$F,5,FALSE),0),0)+IFERROR(IF($C3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3" s="20">
        <f>IF(C3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3" s="20">
        <f>IFERROR(VLOOKUP(Q3,ソース定義マスタ!$A$2:$E$12,5,FALSE)*R3,0)+IFERROR(VLOOKUP(S3,ソース定義マスタ!$A$2:$E$12,5,FALSE)*T3,0)</f>
        <v/>
      </c>
      <c r="Y3" s="20">
        <f>IFERROR(VLOOKUP(P3,飲料マスタ!$A$2:$D$5,4,FALSE),0)</f>
        <v/>
      </c>
      <c r="Z3" s="22">
        <f>U3+V3+W3+X3+Y3</f>
        <v/>
      </c>
      <c r="AA3" s="20">
        <f>D3/1.08</f>
        <v/>
      </c>
      <c r="AB3" s="23">
        <f>IFERROR(Z3/AA3,0)</f>
        <v/>
      </c>
      <c r="AC3" s="23">
        <f>IFERROR(1-AB3,0)</f>
        <v/>
      </c>
    </row>
    <row r="4">
      <c r="A4" s="19" t="n">
        <v>3</v>
      </c>
      <c r="B4" s="19" t="inlineStr">
        <is>
          <t>ローストビーフ弁当</t>
        </is>
      </c>
      <c r="C4" s="19" t="inlineStr">
        <is>
          <t>黒弁当</t>
        </is>
      </c>
      <c r="D4" s="20" t="n">
        <v>2160</v>
      </c>
      <c r="E4" s="19" t="inlineStr">
        <is>
          <t>ロービー</t>
        </is>
      </c>
      <c r="F4" s="19" t="n">
        <v>85</v>
      </c>
      <c r="G4" s="19" t="n"/>
      <c r="H4" s="19" t="n"/>
      <c r="I4" s="19" t="n">
        <v>1</v>
      </c>
      <c r="J4" s="19" t="n">
        <v>1</v>
      </c>
      <c r="K4" s="19" t="n">
        <v>1</v>
      </c>
      <c r="L4" s="19" t="n">
        <v>1</v>
      </c>
      <c r="M4" s="19" t="n">
        <v>1</v>
      </c>
      <c r="N4" s="19" t="n">
        <v>1</v>
      </c>
      <c r="O4" s="19" t="n">
        <v>0</v>
      </c>
      <c r="P4" s="19" t="inlineStr">
        <is>
          <t>none</t>
        </is>
      </c>
      <c r="Q4" s="21" t="inlineStr">
        <is>
          <t>エバラおろしのたれ</t>
        </is>
      </c>
      <c r="R4" s="21" t="n">
        <v>30</v>
      </c>
      <c r="S4" s="21" t="n"/>
      <c r="T4" s="21" t="n"/>
      <c r="U4" s="20">
        <f>IFERROR(VLOOKUP(E4,食材マスタ!$A$2:$F$17,6,FALSE)*F4,0)+IFERROR(VLOOKUP(G4,食材マスタ!$A$2:$F$17,6,FALSE)*H4,0)</f>
        <v/>
      </c>
      <c r="V4" s="20">
        <f>IFERROR(I4*IF($C4="黒弁当",IFERROR(VLOOKUP("ピクルス",サイドマスタ!$A:$F,3,FALSE),0),IFERROR(VLOOKUP("ピクルス",サイドマスタ!$A:$F,4,FALSE),0))*IFERROR(VLOOKUP("ピクルス",サイドマスタ!$A:$F,5,FALSE),0),0)+IFERROR(J4*IF($C4="黒弁当",IFERROR(VLOOKUP("ポテトサラダ",サイドマスタ!$A:$F,3,FALSE),0),IFERROR(VLOOKUP("ポテトサラダ",サイドマスタ!$A:$F,4,FALSE),0))*IFERROR(VLOOKUP("ポテトサラダ",サイドマスタ!$A:$F,5,FALSE),0),0)+IFERROR(K4*IF($C4="黒弁当",IFERROR(VLOOKUP("卵",サイドマスタ!$A:$F,3,FALSE),0),IFERROR(VLOOKUP("卵",サイドマスタ!$A:$F,4,FALSE),0))*IFERROR(VLOOKUP("卵",サイドマスタ!$A:$F,5,FALSE),0),0)+IFERROR(L4*IF($C4="黒弁当",IFERROR(VLOOKUP("ご飯",サイドマスタ!$A:$F,3,FALSE),0),IFERROR(VLOOKUP("ご飯",サイドマスタ!$A:$F,4,FALSE),0))*IFERROR(VLOOKUP("ご飯",サイドマスタ!$A:$F,5,FALSE),0),0)+IFERROR(M4*IF($C4="黒弁当",IFERROR(VLOOKUP("かぼちゃ",サイドマスタ!$A:$F,3,FALSE),0),IFERROR(VLOOKUP("かぼちゃ",サイドマスタ!$A:$F,4,FALSE),0))*IFERROR(VLOOKUP("かぼちゃ",サイドマスタ!$A:$F,5,FALSE),0),0)+IFERROR(N4*IF($C4="黒弁当",IFERROR(VLOOKUP("小エビ",サイドマスタ!$A:$F,3,FALSE),0),IFERROR(VLOOKUP("小エビ",サイドマスタ!$A:$F,4,FALSE),0))*IFERROR(VLOOKUP("小エビ",サイドマスタ!$A:$F,5,FALSE),0),0)+IFERROR(O4*IF($C4="黒弁当",IFERROR(VLOOKUP("有頭エビ",サイドマスタ!$A:$F,3,FALSE),0),IFERROR(VLOOKUP("有頭エビ",サイドマスタ!$A:$F,4,FALSE),0))*IFERROR(VLOOKUP("有頭エビ",サイドマスタ!$A:$F,5,FALSE),0),0)+IFERROR(IF($C4="黒弁当",IFERROR(VLOOKUP("サラダベース",サイドマスタ!$A:$F,3,FALSE),0),IFERROR(VLOOKUP("サラダベース",サイドマスタ!$A:$F,4,FALSE),0))*IFERROR(VLOOKUP("サラダベース",サイドマスタ!$A:$F,5,FALSE),0),0)+IFERROR(IF($C4="黒弁当",IFERROR(VLOOKUP("ミニトマト",サイドマスタ!$A:$F,3,FALSE),0),IFERROR(VLOOKUP("ミニトマト",サイドマスタ!$A:$F,4,FALSE),0))*IFERROR(VLOOKUP("ミニトマト",サイドマスタ!$A:$F,5,FALSE),0),0)+IFERROR(IF($C4="黒弁当",IFERROR(VLOOKUP("蒸し野菜",サイドマスタ!$A:$F,3,FALSE),0),IFERROR(VLOOKUP("蒸し野菜",サイドマスタ!$A:$F,4,FALSE),0))*IFERROR(VLOOKUP("蒸し野菜",サイドマスタ!$A:$F,5,FALSE),0),0)+IFERROR(IF($C4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4" s="20">
        <f>IF(C4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4" s="20">
        <f>IFERROR(VLOOKUP(Q4,ソース定義マスタ!$A$2:$E$12,5,FALSE)*R4,0)+IFERROR(VLOOKUP(S4,ソース定義マスタ!$A$2:$E$12,5,FALSE)*T4,0)</f>
        <v/>
      </c>
      <c r="Y4" s="20">
        <f>IFERROR(VLOOKUP(P4,飲料マスタ!$A$2:$D$5,4,FALSE),0)</f>
        <v/>
      </c>
      <c r="Z4" s="22">
        <f>U4+V4+W4+X4+Y4</f>
        <v/>
      </c>
      <c r="AA4" s="20">
        <f>D4/1.08</f>
        <v/>
      </c>
      <c r="AB4" s="23">
        <f>IFERROR(Z4/AA4,0)</f>
        <v/>
      </c>
      <c r="AC4" s="23">
        <f>IFERROR(1-AB4,0)</f>
        <v/>
      </c>
    </row>
    <row r="5">
      <c r="A5" s="19" t="n">
        <v>4</v>
      </c>
      <c r="B5" s="19" t="inlineStr">
        <is>
          <t>特選ハラミステーキとハンバーグの弁当</t>
        </is>
      </c>
      <c r="C5" s="19" t="inlineStr">
        <is>
          <t>黒弁当</t>
        </is>
      </c>
      <c r="D5" s="20" t="n">
        <v>2200</v>
      </c>
      <c r="E5" s="19" t="inlineStr">
        <is>
          <t>ハラミ</t>
        </is>
      </c>
      <c r="F5" s="19" t="n">
        <v>52</v>
      </c>
      <c r="G5" s="19" t="inlineStr">
        <is>
          <t>150gバーグ</t>
        </is>
      </c>
      <c r="H5" s="19" t="n">
        <v>0.5</v>
      </c>
      <c r="I5" s="19" t="n">
        <v>1</v>
      </c>
      <c r="J5" s="19" t="n">
        <v>1</v>
      </c>
      <c r="K5" s="19" t="n">
        <v>1</v>
      </c>
      <c r="L5" s="19" t="n">
        <v>1</v>
      </c>
      <c r="M5" s="19" t="n">
        <v>1</v>
      </c>
      <c r="N5" s="19" t="n">
        <v>1</v>
      </c>
      <c r="O5" s="19" t="n">
        <v>0</v>
      </c>
      <c r="P5" s="19" t="inlineStr">
        <is>
          <t>none</t>
        </is>
      </c>
      <c r="Q5" s="21" t="inlineStr">
        <is>
          <t>オニオンソース</t>
        </is>
      </c>
      <c r="R5" s="21" t="n">
        <v>20</v>
      </c>
      <c r="S5" s="21" t="inlineStr">
        <is>
          <t>ハンバーグソース</t>
        </is>
      </c>
      <c r="T5" s="21" t="n">
        <v>30</v>
      </c>
      <c r="U5" s="20">
        <f>IFERROR(VLOOKUP(E5,食材マスタ!$A$2:$F$17,6,FALSE)*F5,0)+IFERROR(VLOOKUP(G5,食材マスタ!$A$2:$F$17,6,FALSE)*H5,0)</f>
        <v/>
      </c>
      <c r="V5" s="20">
        <f>IFERROR(I5*IF($C5="黒弁当",IFERROR(VLOOKUP("ピクルス",サイドマスタ!$A:$F,3,FALSE),0),IFERROR(VLOOKUP("ピクルス",サイドマスタ!$A:$F,4,FALSE),0))*IFERROR(VLOOKUP("ピクルス",サイドマスタ!$A:$F,5,FALSE),0),0)+IFERROR(J5*IF($C5="黒弁当",IFERROR(VLOOKUP("ポテトサラダ",サイドマスタ!$A:$F,3,FALSE),0),IFERROR(VLOOKUP("ポテトサラダ",サイドマスタ!$A:$F,4,FALSE),0))*IFERROR(VLOOKUP("ポテトサラダ",サイドマスタ!$A:$F,5,FALSE),0),0)+IFERROR(K5*IF($C5="黒弁当",IFERROR(VLOOKUP("卵",サイドマスタ!$A:$F,3,FALSE),0),IFERROR(VLOOKUP("卵",サイドマスタ!$A:$F,4,FALSE),0))*IFERROR(VLOOKUP("卵",サイドマスタ!$A:$F,5,FALSE),0),0)+IFERROR(L5*IF($C5="黒弁当",IFERROR(VLOOKUP("ご飯",サイドマスタ!$A:$F,3,FALSE),0),IFERROR(VLOOKUP("ご飯",サイドマスタ!$A:$F,4,FALSE),0))*IFERROR(VLOOKUP("ご飯",サイドマスタ!$A:$F,5,FALSE),0),0)+IFERROR(M5*IF($C5="黒弁当",IFERROR(VLOOKUP("かぼちゃ",サイドマスタ!$A:$F,3,FALSE),0),IFERROR(VLOOKUP("かぼちゃ",サイドマスタ!$A:$F,4,FALSE),0))*IFERROR(VLOOKUP("かぼちゃ",サイドマスタ!$A:$F,5,FALSE),0),0)+IFERROR(N5*IF($C5="黒弁当",IFERROR(VLOOKUP("小エビ",サイドマスタ!$A:$F,3,FALSE),0),IFERROR(VLOOKUP("小エビ",サイドマスタ!$A:$F,4,FALSE),0))*IFERROR(VLOOKUP("小エビ",サイドマスタ!$A:$F,5,FALSE),0),0)+IFERROR(O5*IF($C5="黒弁当",IFERROR(VLOOKUP("有頭エビ",サイドマスタ!$A:$F,3,FALSE),0),IFERROR(VLOOKUP("有頭エビ",サイドマスタ!$A:$F,4,FALSE),0))*IFERROR(VLOOKUP("有頭エビ",サイドマスタ!$A:$F,5,FALSE),0),0)+IFERROR(IF($C5="黒弁当",IFERROR(VLOOKUP("サラダベース",サイドマスタ!$A:$F,3,FALSE),0),IFERROR(VLOOKUP("サラダベース",サイドマスタ!$A:$F,4,FALSE),0))*IFERROR(VLOOKUP("サラダベース",サイドマスタ!$A:$F,5,FALSE),0),0)+IFERROR(IF($C5="黒弁当",IFERROR(VLOOKUP("ミニトマト",サイドマスタ!$A:$F,3,FALSE),0),IFERROR(VLOOKUP("ミニトマト",サイドマスタ!$A:$F,4,FALSE),0))*IFERROR(VLOOKUP("ミニトマト",サイドマスタ!$A:$F,5,FALSE),0),0)+IFERROR(IF($C5="黒弁当",IFERROR(VLOOKUP("蒸し野菜",サイドマスタ!$A:$F,3,FALSE),0),IFERROR(VLOOKUP("蒸し野菜",サイドマスタ!$A:$F,4,FALSE),0))*IFERROR(VLOOKUP("蒸し野菜",サイドマスタ!$A:$F,5,FALSE),0),0)+IFERROR(IF($C5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5" s="20">
        <f>IF(C5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5" s="20">
        <f>IFERROR(VLOOKUP(Q5,ソース定義マスタ!$A$2:$E$12,5,FALSE)*R5,0)+IFERROR(VLOOKUP(S5,ソース定義マスタ!$A$2:$E$12,5,FALSE)*T5,0)</f>
        <v/>
      </c>
      <c r="Y5" s="20">
        <f>IFERROR(VLOOKUP(P5,飲料マスタ!$A$2:$D$5,4,FALSE),0)</f>
        <v/>
      </c>
      <c r="Z5" s="22">
        <f>U5+V5+W5+X5+Y5</f>
        <v/>
      </c>
      <c r="AA5" s="20">
        <f>D5/1.08</f>
        <v/>
      </c>
      <c r="AB5" s="23">
        <f>IFERROR(Z5/AA5,0)</f>
        <v/>
      </c>
      <c r="AC5" s="23">
        <f>IFERROR(1-AB5,0)</f>
        <v/>
      </c>
    </row>
    <row r="6">
      <c r="A6" s="19" t="n">
        <v>5</v>
      </c>
      <c r="B6" s="19" t="inlineStr">
        <is>
          <t>特選ハラミステーキとローストビーフの弁当</t>
        </is>
      </c>
      <c r="C6" s="19" t="inlineStr">
        <is>
          <t>黒弁当</t>
        </is>
      </c>
      <c r="D6" s="20" t="n">
        <v>2300</v>
      </c>
      <c r="E6" s="19" t="inlineStr">
        <is>
          <t>ハラミ</t>
        </is>
      </c>
      <c r="F6" s="19" t="n">
        <v>52</v>
      </c>
      <c r="G6" s="19" t="inlineStr">
        <is>
          <t>ロービー</t>
        </is>
      </c>
      <c r="H6" s="19" t="n">
        <v>42</v>
      </c>
      <c r="I6" s="19" t="n">
        <v>1</v>
      </c>
      <c r="J6" s="19" t="n">
        <v>1</v>
      </c>
      <c r="K6" s="19" t="n">
        <v>1</v>
      </c>
      <c r="L6" s="19" t="n">
        <v>1</v>
      </c>
      <c r="M6" s="19" t="n">
        <v>1</v>
      </c>
      <c r="N6" s="19" t="n">
        <v>1</v>
      </c>
      <c r="O6" s="19" t="n">
        <v>0</v>
      </c>
      <c r="P6" s="19" t="inlineStr">
        <is>
          <t>none</t>
        </is>
      </c>
      <c r="Q6" s="21" t="inlineStr">
        <is>
          <t>オニオンソース</t>
        </is>
      </c>
      <c r="R6" s="21" t="n">
        <v>20</v>
      </c>
      <c r="S6" s="21" t="inlineStr">
        <is>
          <t>エバラおろしのたれ</t>
        </is>
      </c>
      <c r="T6" s="21" t="n">
        <v>20</v>
      </c>
      <c r="U6" s="20">
        <f>IFERROR(VLOOKUP(E6,食材マスタ!$A$2:$F$17,6,FALSE)*F6,0)+IFERROR(VLOOKUP(G6,食材マスタ!$A$2:$F$17,6,FALSE)*H6,0)</f>
        <v/>
      </c>
      <c r="V6" s="20">
        <f>IFERROR(I6*IF($C6="黒弁当",IFERROR(VLOOKUP("ピクルス",サイドマスタ!$A:$F,3,FALSE),0),IFERROR(VLOOKUP("ピクルス",サイドマスタ!$A:$F,4,FALSE),0))*IFERROR(VLOOKUP("ピクルス",サイドマスタ!$A:$F,5,FALSE),0),0)+IFERROR(J6*IF($C6="黒弁当",IFERROR(VLOOKUP("ポテトサラダ",サイドマスタ!$A:$F,3,FALSE),0),IFERROR(VLOOKUP("ポテトサラダ",サイドマスタ!$A:$F,4,FALSE),0))*IFERROR(VLOOKUP("ポテトサラダ",サイドマスタ!$A:$F,5,FALSE),0),0)+IFERROR(K6*IF($C6="黒弁当",IFERROR(VLOOKUP("卵",サイドマスタ!$A:$F,3,FALSE),0),IFERROR(VLOOKUP("卵",サイドマスタ!$A:$F,4,FALSE),0))*IFERROR(VLOOKUP("卵",サイドマスタ!$A:$F,5,FALSE),0),0)+IFERROR(L6*IF($C6="黒弁当",IFERROR(VLOOKUP("ご飯",サイドマスタ!$A:$F,3,FALSE),0),IFERROR(VLOOKUP("ご飯",サイドマスタ!$A:$F,4,FALSE),0))*IFERROR(VLOOKUP("ご飯",サイドマスタ!$A:$F,5,FALSE),0),0)+IFERROR(M6*IF($C6="黒弁当",IFERROR(VLOOKUP("かぼちゃ",サイドマスタ!$A:$F,3,FALSE),0),IFERROR(VLOOKUP("かぼちゃ",サイドマスタ!$A:$F,4,FALSE),0))*IFERROR(VLOOKUP("かぼちゃ",サイドマスタ!$A:$F,5,FALSE),0),0)+IFERROR(N6*IF($C6="黒弁当",IFERROR(VLOOKUP("小エビ",サイドマスタ!$A:$F,3,FALSE),0),IFERROR(VLOOKUP("小エビ",サイドマスタ!$A:$F,4,FALSE),0))*IFERROR(VLOOKUP("小エビ",サイドマスタ!$A:$F,5,FALSE),0),0)+IFERROR(O6*IF($C6="黒弁当",IFERROR(VLOOKUP("有頭エビ",サイドマスタ!$A:$F,3,FALSE),0),IFERROR(VLOOKUP("有頭エビ",サイドマスタ!$A:$F,4,FALSE),0))*IFERROR(VLOOKUP("有頭エビ",サイドマスタ!$A:$F,5,FALSE),0),0)+IFERROR(IF($C6="黒弁当",IFERROR(VLOOKUP("サラダベース",サイドマスタ!$A:$F,3,FALSE),0),IFERROR(VLOOKUP("サラダベース",サイドマスタ!$A:$F,4,FALSE),0))*IFERROR(VLOOKUP("サラダベース",サイドマスタ!$A:$F,5,FALSE),0),0)+IFERROR(IF($C6="黒弁当",IFERROR(VLOOKUP("ミニトマト",サイドマスタ!$A:$F,3,FALSE),0),IFERROR(VLOOKUP("ミニトマト",サイドマスタ!$A:$F,4,FALSE),0))*IFERROR(VLOOKUP("ミニトマト",サイドマスタ!$A:$F,5,FALSE),0),0)+IFERROR(IF($C6="黒弁当",IFERROR(VLOOKUP("蒸し野菜",サイドマスタ!$A:$F,3,FALSE),0),IFERROR(VLOOKUP("蒸し野菜",サイドマスタ!$A:$F,4,FALSE),0))*IFERROR(VLOOKUP("蒸し野菜",サイドマスタ!$A:$F,5,FALSE),0),0)+IFERROR(IF($C6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6" s="20">
        <f>IF(C6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6" s="20">
        <f>IFERROR(VLOOKUP(Q6,ソース定義マスタ!$A$2:$E$12,5,FALSE)*R6,0)+IFERROR(VLOOKUP(S6,ソース定義マスタ!$A$2:$E$12,5,FALSE)*T6,0)</f>
        <v/>
      </c>
      <c r="Y6" s="20">
        <f>IFERROR(VLOOKUP(P6,飲料マスタ!$A$2:$D$5,4,FALSE),0)</f>
        <v/>
      </c>
      <c r="Z6" s="22">
        <f>U6+V6+W6+X6+Y6</f>
        <v/>
      </c>
      <c r="AA6" s="20">
        <f>D6/1.08</f>
        <v/>
      </c>
      <c r="AB6" s="23">
        <f>IFERROR(Z6/AA6,0)</f>
        <v/>
      </c>
      <c r="AC6" s="23">
        <f>IFERROR(1-AB6,0)</f>
        <v/>
      </c>
    </row>
    <row r="7">
      <c r="A7" s="19" t="n">
        <v>6</v>
      </c>
      <c r="B7" s="19" t="inlineStr">
        <is>
          <t>特選ハラミのステーキとイベリコ豚の弁当</t>
        </is>
      </c>
      <c r="C7" s="19" t="inlineStr">
        <is>
          <t>黒弁当</t>
        </is>
      </c>
      <c r="D7" s="20" t="n">
        <v>2500</v>
      </c>
      <c r="E7" s="19" t="inlineStr">
        <is>
          <t>ハラミ</t>
        </is>
      </c>
      <c r="F7" s="19" t="n">
        <v>52</v>
      </c>
      <c r="G7" s="19" t="inlineStr">
        <is>
          <t>イベリコ</t>
        </is>
      </c>
      <c r="H7" s="19" t="n">
        <v>50</v>
      </c>
      <c r="I7" s="19" t="n">
        <v>1</v>
      </c>
      <c r="J7" s="19" t="n">
        <v>1</v>
      </c>
      <c r="K7" s="19" t="n">
        <v>1</v>
      </c>
      <c r="L7" s="19" t="n">
        <v>1</v>
      </c>
      <c r="M7" s="19" t="n">
        <v>1</v>
      </c>
      <c r="N7" s="19" t="n">
        <v>1</v>
      </c>
      <c r="O7" s="19" t="n">
        <v>0</v>
      </c>
      <c r="P7" s="19" t="inlineStr">
        <is>
          <t>pet_free</t>
        </is>
      </c>
      <c r="Q7" s="21" t="inlineStr">
        <is>
          <t>オニオンソース</t>
        </is>
      </c>
      <c r="R7" s="21" t="n">
        <v>20</v>
      </c>
      <c r="S7" s="21" t="inlineStr">
        <is>
          <t>粒マスタード単品</t>
        </is>
      </c>
      <c r="T7" s="21" t="n">
        <v>15</v>
      </c>
      <c r="U7" s="20">
        <f>IFERROR(VLOOKUP(E7,食材マスタ!$A$2:$F$17,6,FALSE)*F7,0)+IFERROR(VLOOKUP(G7,食材マスタ!$A$2:$F$17,6,FALSE)*H7,0)</f>
        <v/>
      </c>
      <c r="V7" s="20">
        <f>IFERROR(I7*IF($C7="黒弁当",IFERROR(VLOOKUP("ピクルス",サイドマスタ!$A:$F,3,FALSE),0),IFERROR(VLOOKUP("ピクルス",サイドマスタ!$A:$F,4,FALSE),0))*IFERROR(VLOOKUP("ピクルス",サイドマスタ!$A:$F,5,FALSE),0),0)+IFERROR(J7*IF($C7="黒弁当",IFERROR(VLOOKUP("ポテトサラダ",サイドマスタ!$A:$F,3,FALSE),0),IFERROR(VLOOKUP("ポテトサラダ",サイドマスタ!$A:$F,4,FALSE),0))*IFERROR(VLOOKUP("ポテトサラダ",サイドマスタ!$A:$F,5,FALSE),0),0)+IFERROR(K7*IF($C7="黒弁当",IFERROR(VLOOKUP("卵",サイドマスタ!$A:$F,3,FALSE),0),IFERROR(VLOOKUP("卵",サイドマスタ!$A:$F,4,FALSE),0))*IFERROR(VLOOKUP("卵",サイドマスタ!$A:$F,5,FALSE),0),0)+IFERROR(L7*IF($C7="黒弁当",IFERROR(VLOOKUP("ご飯",サイドマスタ!$A:$F,3,FALSE),0),IFERROR(VLOOKUP("ご飯",サイドマスタ!$A:$F,4,FALSE),0))*IFERROR(VLOOKUP("ご飯",サイドマスタ!$A:$F,5,FALSE),0),0)+IFERROR(M7*IF($C7="黒弁当",IFERROR(VLOOKUP("かぼちゃ",サイドマスタ!$A:$F,3,FALSE),0),IFERROR(VLOOKUP("かぼちゃ",サイドマスタ!$A:$F,4,FALSE),0))*IFERROR(VLOOKUP("かぼちゃ",サイドマスタ!$A:$F,5,FALSE),0),0)+IFERROR(N7*IF($C7="黒弁当",IFERROR(VLOOKUP("小エビ",サイドマスタ!$A:$F,3,FALSE),0),IFERROR(VLOOKUP("小エビ",サイドマスタ!$A:$F,4,FALSE),0))*IFERROR(VLOOKUP("小エビ",サイドマスタ!$A:$F,5,FALSE),0),0)+IFERROR(O7*IF($C7="黒弁当",IFERROR(VLOOKUP("有頭エビ",サイドマスタ!$A:$F,3,FALSE),0),IFERROR(VLOOKUP("有頭エビ",サイドマスタ!$A:$F,4,FALSE),0))*IFERROR(VLOOKUP("有頭エビ",サイドマスタ!$A:$F,5,FALSE),0),0)+IFERROR(IF($C7="黒弁当",IFERROR(VLOOKUP("サラダベース",サイドマスタ!$A:$F,3,FALSE),0),IFERROR(VLOOKUP("サラダベース",サイドマスタ!$A:$F,4,FALSE),0))*IFERROR(VLOOKUP("サラダベース",サイドマスタ!$A:$F,5,FALSE),0),0)+IFERROR(IF($C7="黒弁当",IFERROR(VLOOKUP("ミニトマト",サイドマスタ!$A:$F,3,FALSE),0),IFERROR(VLOOKUP("ミニトマト",サイドマスタ!$A:$F,4,FALSE),0))*IFERROR(VLOOKUP("ミニトマト",サイドマスタ!$A:$F,5,FALSE),0),0)+IFERROR(IF($C7="黒弁当",IFERROR(VLOOKUP("蒸し野菜",サイドマスタ!$A:$F,3,FALSE),0),IFERROR(VLOOKUP("蒸し野菜",サイドマスタ!$A:$F,4,FALSE),0))*IFERROR(VLOOKUP("蒸し野菜",サイドマスタ!$A:$F,5,FALSE),0),0)+IFERROR(IF($C7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7" s="20">
        <f>IF(C7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7" s="20">
        <f>IFERROR(VLOOKUP(Q7,ソース定義マスタ!$A$2:$E$12,5,FALSE)*R7,0)+IFERROR(VLOOKUP(S7,ソース定義マスタ!$A$2:$E$12,5,FALSE)*T7,0)</f>
        <v/>
      </c>
      <c r="Y7" s="20">
        <f>IFERROR(VLOOKUP(P7,飲料マスタ!$A$2:$D$5,4,FALSE),0)</f>
        <v/>
      </c>
      <c r="Z7" s="22">
        <f>U7+V7+W7+X7+Y7</f>
        <v/>
      </c>
      <c r="AA7" s="20">
        <f>D7/1.08</f>
        <v/>
      </c>
      <c r="AB7" s="23">
        <f>IFERROR(Z7/AA7,0)</f>
        <v/>
      </c>
      <c r="AC7" s="23">
        <f>IFERROR(1-AB7,0)</f>
        <v/>
      </c>
    </row>
    <row r="8">
      <c r="A8" s="19" t="n">
        <v>7</v>
      </c>
      <c r="B8" s="19" t="inlineStr">
        <is>
          <t>愛知県産真鯛の白ワイン蒸し弁当</t>
        </is>
      </c>
      <c r="C8" s="19" t="inlineStr">
        <is>
          <t>黒弁当</t>
        </is>
      </c>
      <c r="D8" s="20" t="n">
        <v>2160</v>
      </c>
      <c r="E8" s="19" t="inlineStr">
        <is>
          <t>鯛</t>
        </is>
      </c>
      <c r="F8" s="19" t="n">
        <v>1</v>
      </c>
      <c r="G8" s="19" t="n"/>
      <c r="H8" s="19" t="n"/>
      <c r="I8" s="19" t="n">
        <v>1</v>
      </c>
      <c r="J8" s="19" t="n">
        <v>1</v>
      </c>
      <c r="K8" s="19" t="n">
        <v>1</v>
      </c>
      <c r="L8" s="19" t="n">
        <v>1</v>
      </c>
      <c r="M8" s="19" t="n">
        <v>1</v>
      </c>
      <c r="N8" s="19" t="n">
        <v>0</v>
      </c>
      <c r="O8" s="19" t="n">
        <v>1</v>
      </c>
      <c r="P8" s="19" t="inlineStr">
        <is>
          <t>none</t>
        </is>
      </c>
      <c r="Q8" s="21" t="inlineStr">
        <is>
          <t>ブールブランソース</t>
        </is>
      </c>
      <c r="R8" s="21" t="n">
        <v>30</v>
      </c>
      <c r="S8" s="21" t="n"/>
      <c r="T8" s="21" t="n"/>
      <c r="U8" s="20">
        <f>IFERROR(VLOOKUP(E8,食材マスタ!$A$2:$F$17,6,FALSE)*F8,0)+IFERROR(VLOOKUP(G8,食材マスタ!$A$2:$F$17,6,FALSE)*H8,0)</f>
        <v/>
      </c>
      <c r="V8" s="20">
        <f>IFERROR(I8*IF($C8="黒弁当",IFERROR(VLOOKUP("ピクルス",サイドマスタ!$A:$F,3,FALSE),0),IFERROR(VLOOKUP("ピクルス",サイドマスタ!$A:$F,4,FALSE),0))*IFERROR(VLOOKUP("ピクルス",サイドマスタ!$A:$F,5,FALSE),0),0)+IFERROR(J8*IF($C8="黒弁当",IFERROR(VLOOKUP("ポテトサラダ",サイドマスタ!$A:$F,3,FALSE),0),IFERROR(VLOOKUP("ポテトサラダ",サイドマスタ!$A:$F,4,FALSE),0))*IFERROR(VLOOKUP("ポテトサラダ",サイドマスタ!$A:$F,5,FALSE),0),0)+IFERROR(K8*IF($C8="黒弁当",IFERROR(VLOOKUP("卵",サイドマスタ!$A:$F,3,FALSE),0),IFERROR(VLOOKUP("卵",サイドマスタ!$A:$F,4,FALSE),0))*IFERROR(VLOOKUP("卵",サイドマスタ!$A:$F,5,FALSE),0),0)+IFERROR(L8*IF($C8="黒弁当",IFERROR(VLOOKUP("ご飯",サイドマスタ!$A:$F,3,FALSE),0),IFERROR(VLOOKUP("ご飯",サイドマスタ!$A:$F,4,FALSE),0))*IFERROR(VLOOKUP("ご飯",サイドマスタ!$A:$F,5,FALSE),0),0)+IFERROR(M8*IF($C8="黒弁当",IFERROR(VLOOKUP("かぼちゃ",サイドマスタ!$A:$F,3,FALSE),0),IFERROR(VLOOKUP("かぼちゃ",サイドマスタ!$A:$F,4,FALSE),0))*IFERROR(VLOOKUP("かぼちゃ",サイドマスタ!$A:$F,5,FALSE),0),0)+IFERROR(N8*IF($C8="黒弁当",IFERROR(VLOOKUP("小エビ",サイドマスタ!$A:$F,3,FALSE),0),IFERROR(VLOOKUP("小エビ",サイドマスタ!$A:$F,4,FALSE),0))*IFERROR(VLOOKUP("小エビ",サイドマスタ!$A:$F,5,FALSE),0),0)+IFERROR(O8*IF($C8="黒弁当",IFERROR(VLOOKUP("有頭エビ",サイドマスタ!$A:$F,3,FALSE),0),IFERROR(VLOOKUP("有頭エビ",サイドマスタ!$A:$F,4,FALSE),0))*IFERROR(VLOOKUP("有頭エビ",サイドマスタ!$A:$F,5,FALSE),0),0)+IFERROR(IF($C8="黒弁当",IFERROR(VLOOKUP("サラダベース",サイドマスタ!$A:$F,3,FALSE),0),IFERROR(VLOOKUP("サラダベース",サイドマスタ!$A:$F,4,FALSE),0))*IFERROR(VLOOKUP("サラダベース",サイドマスタ!$A:$F,5,FALSE),0),0)+IFERROR(IF($C8="黒弁当",IFERROR(VLOOKUP("ミニトマト",サイドマスタ!$A:$F,3,FALSE),0),IFERROR(VLOOKUP("ミニトマト",サイドマスタ!$A:$F,4,FALSE),0))*IFERROR(VLOOKUP("ミニトマト",サイドマスタ!$A:$F,5,FALSE),0),0)+IFERROR(IF($C8="黒弁当",IFERROR(VLOOKUP("蒸し野菜",サイドマスタ!$A:$F,3,FALSE),0),IFERROR(VLOOKUP("蒸し野菜",サイドマスタ!$A:$F,4,FALSE),0))*IFERROR(VLOOKUP("蒸し野菜",サイドマスタ!$A:$F,5,FALSE),0),0)+IFERROR(IF($C8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8" s="20">
        <f>IF(C8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8" s="20">
        <f>IFERROR(VLOOKUP(Q8,ソース定義マスタ!$A$2:$E$12,5,FALSE)*R8,0)+IFERROR(VLOOKUP(S8,ソース定義マスタ!$A$2:$E$12,5,FALSE)*T8,0)</f>
        <v/>
      </c>
      <c r="Y8" s="20">
        <f>IFERROR(VLOOKUP(P8,飲料マスタ!$A$2:$D$5,4,FALSE),0)</f>
        <v/>
      </c>
      <c r="Z8" s="22">
        <f>U8+V8+W8+X8+Y8</f>
        <v/>
      </c>
      <c r="AA8" s="20">
        <f>D8/1.08</f>
        <v/>
      </c>
      <c r="AB8" s="23">
        <f>IFERROR(Z8/AA8,0)</f>
        <v/>
      </c>
      <c r="AC8" s="23">
        <f>IFERROR(1-AB8,0)</f>
        <v/>
      </c>
    </row>
    <row r="9">
      <c r="A9" s="19" t="n">
        <v>8</v>
      </c>
      <c r="B9" s="19" t="inlineStr">
        <is>
          <t>アトランティックサーモンのロースト弁当</t>
        </is>
      </c>
      <c r="C9" s="19" t="inlineStr">
        <is>
          <t>黒弁当</t>
        </is>
      </c>
      <c r="D9" s="20" t="n">
        <v>2000</v>
      </c>
      <c r="E9" s="19" t="inlineStr">
        <is>
          <t>サーモン</t>
        </is>
      </c>
      <c r="F9" s="19" t="n">
        <v>1</v>
      </c>
      <c r="G9" s="19" t="n"/>
      <c r="H9" s="19" t="n"/>
      <c r="I9" s="19" t="n">
        <v>1</v>
      </c>
      <c r="J9" s="19" t="n">
        <v>1</v>
      </c>
      <c r="K9" s="19" t="n">
        <v>1</v>
      </c>
      <c r="L9" s="19" t="n">
        <v>1</v>
      </c>
      <c r="M9" s="19" t="n">
        <v>1</v>
      </c>
      <c r="N9" s="19" t="n">
        <v>0</v>
      </c>
      <c r="O9" s="19" t="n">
        <v>1</v>
      </c>
      <c r="P9" s="19" t="inlineStr">
        <is>
          <t>none</t>
        </is>
      </c>
      <c r="Q9" s="21" t="inlineStr">
        <is>
          <t>ブールブランソース</t>
        </is>
      </c>
      <c r="R9" s="21" t="n">
        <v>30</v>
      </c>
      <c r="S9" s="21" t="n"/>
      <c r="T9" s="21" t="n"/>
      <c r="U9" s="20">
        <f>IFERROR(VLOOKUP(E9,食材マスタ!$A$2:$F$17,6,FALSE)*F9,0)+IFERROR(VLOOKUP(G9,食材マスタ!$A$2:$F$17,6,FALSE)*H9,0)</f>
        <v/>
      </c>
      <c r="V9" s="20">
        <f>IFERROR(I9*IF($C9="黒弁当",IFERROR(VLOOKUP("ピクルス",サイドマスタ!$A:$F,3,FALSE),0),IFERROR(VLOOKUP("ピクルス",サイドマスタ!$A:$F,4,FALSE),0))*IFERROR(VLOOKUP("ピクルス",サイドマスタ!$A:$F,5,FALSE),0),0)+IFERROR(J9*IF($C9="黒弁当",IFERROR(VLOOKUP("ポテトサラダ",サイドマスタ!$A:$F,3,FALSE),0),IFERROR(VLOOKUP("ポテトサラダ",サイドマスタ!$A:$F,4,FALSE),0))*IFERROR(VLOOKUP("ポテトサラダ",サイドマスタ!$A:$F,5,FALSE),0),0)+IFERROR(K9*IF($C9="黒弁当",IFERROR(VLOOKUP("卵",サイドマスタ!$A:$F,3,FALSE),0),IFERROR(VLOOKUP("卵",サイドマスタ!$A:$F,4,FALSE),0))*IFERROR(VLOOKUP("卵",サイドマスタ!$A:$F,5,FALSE),0),0)+IFERROR(L9*IF($C9="黒弁当",IFERROR(VLOOKUP("ご飯",サイドマスタ!$A:$F,3,FALSE),0),IFERROR(VLOOKUP("ご飯",サイドマスタ!$A:$F,4,FALSE),0))*IFERROR(VLOOKUP("ご飯",サイドマスタ!$A:$F,5,FALSE),0),0)+IFERROR(M9*IF($C9="黒弁当",IFERROR(VLOOKUP("かぼちゃ",サイドマスタ!$A:$F,3,FALSE),0),IFERROR(VLOOKUP("かぼちゃ",サイドマスタ!$A:$F,4,FALSE),0))*IFERROR(VLOOKUP("かぼちゃ",サイドマスタ!$A:$F,5,FALSE),0),0)+IFERROR(N9*IF($C9="黒弁当",IFERROR(VLOOKUP("小エビ",サイドマスタ!$A:$F,3,FALSE),0),IFERROR(VLOOKUP("小エビ",サイドマスタ!$A:$F,4,FALSE),0))*IFERROR(VLOOKUP("小エビ",サイドマスタ!$A:$F,5,FALSE),0),0)+IFERROR(O9*IF($C9="黒弁当",IFERROR(VLOOKUP("有頭エビ",サイドマスタ!$A:$F,3,FALSE),0),IFERROR(VLOOKUP("有頭エビ",サイドマスタ!$A:$F,4,FALSE),0))*IFERROR(VLOOKUP("有頭エビ",サイドマスタ!$A:$F,5,FALSE),0),0)+IFERROR(IF($C9="黒弁当",IFERROR(VLOOKUP("サラダベース",サイドマスタ!$A:$F,3,FALSE),0),IFERROR(VLOOKUP("サラダベース",サイドマスタ!$A:$F,4,FALSE),0))*IFERROR(VLOOKUP("サラダベース",サイドマスタ!$A:$F,5,FALSE),0),0)+IFERROR(IF($C9="黒弁当",IFERROR(VLOOKUP("ミニトマト",サイドマスタ!$A:$F,3,FALSE),0),IFERROR(VLOOKUP("ミニトマト",サイドマスタ!$A:$F,4,FALSE),0))*IFERROR(VLOOKUP("ミニトマト",サイドマスタ!$A:$F,5,FALSE),0),0)+IFERROR(IF($C9="黒弁当",IFERROR(VLOOKUP("蒸し野菜",サイドマスタ!$A:$F,3,FALSE),0),IFERROR(VLOOKUP("蒸し野菜",サイドマスタ!$A:$F,4,FALSE),0))*IFERROR(VLOOKUP("蒸し野菜",サイドマスタ!$A:$F,5,FALSE),0),0)+IFERROR(IF($C9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9" s="20">
        <f>IF(C9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9" s="20">
        <f>IFERROR(VLOOKUP(Q9,ソース定義マスタ!$A$2:$E$12,5,FALSE)*R9,0)+IFERROR(VLOOKUP(S9,ソース定義マスタ!$A$2:$E$12,5,FALSE)*T9,0)</f>
        <v/>
      </c>
      <c r="Y9" s="20">
        <f>IFERROR(VLOOKUP(P9,飲料マスタ!$A$2:$D$5,4,FALSE),0)</f>
        <v/>
      </c>
      <c r="Z9" s="22">
        <f>U9+V9+W9+X9+Y9</f>
        <v/>
      </c>
      <c r="AA9" s="20">
        <f>D9/1.08</f>
        <v/>
      </c>
      <c r="AB9" s="23">
        <f>IFERROR(Z9/AA9,0)</f>
        <v/>
      </c>
      <c r="AC9" s="23">
        <f>IFERROR(1-AB9,0)</f>
        <v/>
      </c>
    </row>
    <row r="10">
      <c r="A10" s="19" t="n">
        <v>9</v>
      </c>
      <c r="B10" s="19" t="inlineStr">
        <is>
          <t>低糖質弁当</t>
        </is>
      </c>
      <c r="C10" s="19" t="inlineStr">
        <is>
          <t>黒弁当</t>
        </is>
      </c>
      <c r="D10" s="20" t="n">
        <v>2300</v>
      </c>
      <c r="E10" s="19" t="inlineStr">
        <is>
          <t>大豆バーグ</t>
        </is>
      </c>
      <c r="F10" s="19" t="n">
        <v>1</v>
      </c>
      <c r="G10" s="19" t="inlineStr">
        <is>
          <t>豆腐</t>
        </is>
      </c>
      <c r="H10" s="19" t="n">
        <v>0.33</v>
      </c>
      <c r="I10" s="19" t="n">
        <v>1</v>
      </c>
      <c r="J10" s="19" t="n">
        <v>1</v>
      </c>
      <c r="K10" s="19" t="n">
        <v>1</v>
      </c>
      <c r="L10" s="19" t="n">
        <v>0</v>
      </c>
      <c r="M10" s="19" t="n">
        <v>1</v>
      </c>
      <c r="N10" s="19" t="n">
        <v>1</v>
      </c>
      <c r="O10" s="19" t="n">
        <v>0</v>
      </c>
      <c r="P10" s="19" t="inlineStr">
        <is>
          <t>none</t>
        </is>
      </c>
      <c r="Q10" s="21" t="inlineStr">
        <is>
          <t>エバラおろしのたれ</t>
        </is>
      </c>
      <c r="R10" s="21" t="n">
        <v>30</v>
      </c>
      <c r="S10" s="21" t="n"/>
      <c r="T10" s="21" t="n"/>
      <c r="U10" s="20">
        <f>IFERROR(VLOOKUP(E10,食材マスタ!$A$2:$F$17,6,FALSE)*F10,0)+IFERROR(VLOOKUP(G10,食材マスタ!$A$2:$F$17,6,FALSE)*H10,0)</f>
        <v/>
      </c>
      <c r="V10" s="20">
        <f>IFERROR(I10*IF($C10="黒弁当",IFERROR(VLOOKUP("ピクルス",サイドマスタ!$A:$F,3,FALSE),0),IFERROR(VLOOKUP("ピクルス",サイドマスタ!$A:$F,4,FALSE),0))*IFERROR(VLOOKUP("ピクルス",サイドマスタ!$A:$F,5,FALSE),0),0)+IFERROR(J10*IF($C10="黒弁当",IFERROR(VLOOKUP("ポテトサラダ",サイドマスタ!$A:$F,3,FALSE),0),IFERROR(VLOOKUP("ポテトサラダ",サイドマスタ!$A:$F,4,FALSE),0))*IFERROR(VLOOKUP("ポテトサラダ",サイドマスタ!$A:$F,5,FALSE),0),0)+IFERROR(K10*IF($C10="黒弁当",IFERROR(VLOOKUP("卵",サイドマスタ!$A:$F,3,FALSE),0),IFERROR(VLOOKUP("卵",サイドマスタ!$A:$F,4,FALSE),0))*IFERROR(VLOOKUP("卵",サイドマスタ!$A:$F,5,FALSE),0),0)+IFERROR(L10*IF($C10="黒弁当",IFERROR(VLOOKUP("ご飯",サイドマスタ!$A:$F,3,FALSE),0),IFERROR(VLOOKUP("ご飯",サイドマスタ!$A:$F,4,FALSE),0))*IFERROR(VLOOKUP("ご飯",サイドマスタ!$A:$F,5,FALSE),0),0)+IFERROR(M10*IF($C10="黒弁当",IFERROR(VLOOKUP("かぼちゃ",サイドマスタ!$A:$F,3,FALSE),0),IFERROR(VLOOKUP("かぼちゃ",サイドマスタ!$A:$F,4,FALSE),0))*IFERROR(VLOOKUP("かぼちゃ",サイドマスタ!$A:$F,5,FALSE),0),0)+IFERROR(N10*IF($C10="黒弁当",IFERROR(VLOOKUP("小エビ",サイドマスタ!$A:$F,3,FALSE),0),IFERROR(VLOOKUP("小エビ",サイドマスタ!$A:$F,4,FALSE),0))*IFERROR(VLOOKUP("小エビ",サイドマスタ!$A:$F,5,FALSE),0),0)+IFERROR(O10*IF($C10="黒弁当",IFERROR(VLOOKUP("有頭エビ",サイドマスタ!$A:$F,3,FALSE),0),IFERROR(VLOOKUP("有頭エビ",サイドマスタ!$A:$F,4,FALSE),0))*IFERROR(VLOOKUP("有頭エビ",サイドマスタ!$A:$F,5,FALSE),0),0)+IFERROR(IF($C10="黒弁当",IFERROR(VLOOKUP("サラダベース",サイドマスタ!$A:$F,3,FALSE),0),IFERROR(VLOOKUP("サラダベース",サイドマスタ!$A:$F,4,FALSE),0))*IFERROR(VLOOKUP("サラダベース",サイドマスタ!$A:$F,5,FALSE),0),0)+IFERROR(IF($C10="黒弁当",IFERROR(VLOOKUP("ミニトマト",サイドマスタ!$A:$F,3,FALSE),0),IFERROR(VLOOKUP("ミニトマト",サイドマスタ!$A:$F,4,FALSE),0))*IFERROR(VLOOKUP("ミニトマト",サイドマスタ!$A:$F,5,FALSE),0),0)+IFERROR(IF($C10="黒弁当",IFERROR(VLOOKUP("蒸し野菜",サイドマスタ!$A:$F,3,FALSE),0),IFERROR(VLOOKUP("蒸し野菜",サイドマスタ!$A:$F,4,FALSE),0))*IFERROR(VLOOKUP("蒸し野菜",サイドマスタ!$A:$F,5,FALSE),0),0)+IFERROR(IF($C10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10" s="20">
        <f>IF(C10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10" s="20">
        <f>IFERROR(VLOOKUP(Q10,ソース定義マスタ!$A$2:$E$12,5,FALSE)*R10,0)+IFERROR(VLOOKUP(S10,ソース定義マスタ!$A$2:$E$12,5,FALSE)*T10,0)</f>
        <v/>
      </c>
      <c r="Y10" s="20">
        <f>IFERROR(VLOOKUP(P10,飲料マスタ!$A$2:$D$5,4,FALSE),0)</f>
        <v/>
      </c>
      <c r="Z10" s="22">
        <f>U10+V10+W10+X10+Y10</f>
        <v/>
      </c>
      <c r="AA10" s="20">
        <f>D10/1.08</f>
        <v/>
      </c>
      <c r="AB10" s="23">
        <f>IFERROR(Z10/AA10,0)</f>
        <v/>
      </c>
      <c r="AC10" s="23">
        <f>IFERROR(1-AB10,0)</f>
        <v/>
      </c>
    </row>
    <row r="11">
      <c r="A11" s="19" t="n">
        <v>10</v>
      </c>
      <c r="B11" s="19" t="inlineStr">
        <is>
          <t>赤城牛ミスジとハラミのステーキ弁当</t>
        </is>
      </c>
      <c r="C11" s="19" t="inlineStr">
        <is>
          <t>黒弁当</t>
        </is>
      </c>
      <c r="D11" s="20" t="n">
        <v>2800</v>
      </c>
      <c r="E11" s="19" t="inlineStr">
        <is>
          <t>ミスジ</t>
        </is>
      </c>
      <c r="F11" s="19" t="n">
        <v>50</v>
      </c>
      <c r="G11" s="19" t="inlineStr">
        <is>
          <t>ハラミ</t>
        </is>
      </c>
      <c r="H11" s="19" t="n">
        <v>52</v>
      </c>
      <c r="I11" s="19" t="n">
        <v>1</v>
      </c>
      <c r="J11" s="19" t="n">
        <v>1</v>
      </c>
      <c r="K11" s="19" t="n">
        <v>1</v>
      </c>
      <c r="L11" s="19" t="n">
        <v>1</v>
      </c>
      <c r="M11" s="19" t="n">
        <v>1</v>
      </c>
      <c r="N11" s="19" t="n">
        <v>1</v>
      </c>
      <c r="O11" s="19" t="n">
        <v>0</v>
      </c>
      <c r="P11" s="19" t="inlineStr">
        <is>
          <t>none</t>
        </is>
      </c>
      <c r="Q11" s="21" t="inlineStr">
        <is>
          <t>エバラおろしのたれ</t>
        </is>
      </c>
      <c r="R11" s="21" t="n">
        <v>20</v>
      </c>
      <c r="S11" s="21" t="inlineStr">
        <is>
          <t>オニオンソース</t>
        </is>
      </c>
      <c r="T11" s="21" t="n">
        <v>20</v>
      </c>
      <c r="U11" s="20">
        <f>IFERROR(VLOOKUP(E11,食材マスタ!$A$2:$F$17,6,FALSE)*F11,0)+IFERROR(VLOOKUP(G11,食材マスタ!$A$2:$F$17,6,FALSE)*H11,0)</f>
        <v/>
      </c>
      <c r="V11" s="20">
        <f>IFERROR(I11*IF($C11="黒弁当",IFERROR(VLOOKUP("ピクルス",サイドマスタ!$A:$F,3,FALSE),0),IFERROR(VLOOKUP("ピクルス",サイドマスタ!$A:$F,4,FALSE),0))*IFERROR(VLOOKUP("ピクルス",サイドマスタ!$A:$F,5,FALSE),0),0)+IFERROR(J11*IF($C11="黒弁当",IFERROR(VLOOKUP("ポテトサラダ",サイドマスタ!$A:$F,3,FALSE),0),IFERROR(VLOOKUP("ポテトサラダ",サイドマスタ!$A:$F,4,FALSE),0))*IFERROR(VLOOKUP("ポテトサラダ",サイドマスタ!$A:$F,5,FALSE),0),0)+IFERROR(K11*IF($C11="黒弁当",IFERROR(VLOOKUP("卵",サイドマスタ!$A:$F,3,FALSE),0),IFERROR(VLOOKUP("卵",サイドマスタ!$A:$F,4,FALSE),0))*IFERROR(VLOOKUP("卵",サイドマスタ!$A:$F,5,FALSE),0),0)+IFERROR(L11*IF($C11="黒弁当",IFERROR(VLOOKUP("ご飯",サイドマスタ!$A:$F,3,FALSE),0),IFERROR(VLOOKUP("ご飯",サイドマスタ!$A:$F,4,FALSE),0))*IFERROR(VLOOKUP("ご飯",サイドマスタ!$A:$F,5,FALSE),0),0)+IFERROR(M11*IF($C11="黒弁当",IFERROR(VLOOKUP("かぼちゃ",サイドマスタ!$A:$F,3,FALSE),0),IFERROR(VLOOKUP("かぼちゃ",サイドマスタ!$A:$F,4,FALSE),0))*IFERROR(VLOOKUP("かぼちゃ",サイドマスタ!$A:$F,5,FALSE),0),0)+IFERROR(N11*IF($C11="黒弁当",IFERROR(VLOOKUP("小エビ",サイドマスタ!$A:$F,3,FALSE),0),IFERROR(VLOOKUP("小エビ",サイドマスタ!$A:$F,4,FALSE),0))*IFERROR(VLOOKUP("小エビ",サイドマスタ!$A:$F,5,FALSE),0),0)+IFERROR(O11*IF($C11="黒弁当",IFERROR(VLOOKUP("有頭エビ",サイドマスタ!$A:$F,3,FALSE),0),IFERROR(VLOOKUP("有頭エビ",サイドマスタ!$A:$F,4,FALSE),0))*IFERROR(VLOOKUP("有頭エビ",サイドマスタ!$A:$F,5,FALSE),0),0)+IFERROR(IF($C11="黒弁当",IFERROR(VLOOKUP("サラダベース",サイドマスタ!$A:$F,3,FALSE),0),IFERROR(VLOOKUP("サラダベース",サイドマスタ!$A:$F,4,FALSE),0))*IFERROR(VLOOKUP("サラダベース",サイドマスタ!$A:$F,5,FALSE),0),0)+IFERROR(IF($C11="黒弁当",IFERROR(VLOOKUP("ミニトマト",サイドマスタ!$A:$F,3,FALSE),0),IFERROR(VLOOKUP("ミニトマト",サイドマスタ!$A:$F,4,FALSE),0))*IFERROR(VLOOKUP("ミニトマト",サイドマスタ!$A:$F,5,FALSE),0),0)+IFERROR(IF($C11="黒弁当",IFERROR(VLOOKUP("蒸し野菜",サイドマスタ!$A:$F,3,FALSE),0),IFERROR(VLOOKUP("蒸し野菜",サイドマスタ!$A:$F,4,FALSE),0))*IFERROR(VLOOKUP("蒸し野菜",サイドマスタ!$A:$F,5,FALSE),0),0)+IFERROR(IF($C11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11" s="20">
        <f>IF(C11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11" s="20">
        <f>IFERROR(VLOOKUP(Q11,ソース定義マスタ!$A$2:$E$12,5,FALSE)*R11,0)+IFERROR(VLOOKUP(S11,ソース定義マスタ!$A$2:$E$12,5,FALSE)*T11,0)</f>
        <v/>
      </c>
      <c r="Y11" s="20">
        <f>IFERROR(VLOOKUP(P11,飲料マスタ!$A$2:$D$5,4,FALSE),0)</f>
        <v/>
      </c>
      <c r="Z11" s="22">
        <f>U11+V11+W11+X11+Y11</f>
        <v/>
      </c>
      <c r="AA11" s="20">
        <f>D11/1.08</f>
        <v/>
      </c>
      <c r="AB11" s="23">
        <f>IFERROR(Z11/AA11,0)</f>
        <v/>
      </c>
      <c r="AC11" s="23">
        <f>IFERROR(1-AB11,0)</f>
        <v/>
      </c>
    </row>
    <row r="12">
      <c r="A12" s="19" t="n">
        <v>11</v>
      </c>
      <c r="B12" s="19" t="inlineStr">
        <is>
          <t>赤城牛ミスジのステーキ弁当</t>
        </is>
      </c>
      <c r="C12" s="19" t="inlineStr">
        <is>
          <t>黒弁当</t>
        </is>
      </c>
      <c r="D12" s="20" t="n">
        <v>3000</v>
      </c>
      <c r="E12" s="19" t="inlineStr">
        <is>
          <t>ミスジ</t>
        </is>
      </c>
      <c r="F12" s="19" t="n">
        <v>100</v>
      </c>
      <c r="G12" s="19" t="n"/>
      <c r="H12" s="19" t="n"/>
      <c r="I12" s="19" t="n">
        <v>1</v>
      </c>
      <c r="J12" s="19" t="n">
        <v>1</v>
      </c>
      <c r="K12" s="19" t="n">
        <v>1</v>
      </c>
      <c r="L12" s="19" t="n">
        <v>1</v>
      </c>
      <c r="M12" s="19" t="n">
        <v>1</v>
      </c>
      <c r="N12" s="19" t="n">
        <v>1</v>
      </c>
      <c r="O12" s="19" t="n">
        <v>0</v>
      </c>
      <c r="P12" s="19" t="inlineStr">
        <is>
          <t>pet_free</t>
        </is>
      </c>
      <c r="Q12" s="21" t="inlineStr">
        <is>
          <t>エバラおろしのたれ</t>
        </is>
      </c>
      <c r="R12" s="21" t="n">
        <v>30</v>
      </c>
      <c r="S12" s="21" t="n"/>
      <c r="T12" s="21" t="n"/>
      <c r="U12" s="20">
        <f>IFERROR(VLOOKUP(E12,食材マスタ!$A$2:$F$17,6,FALSE)*F12,0)+IFERROR(VLOOKUP(G12,食材マスタ!$A$2:$F$17,6,FALSE)*H12,0)</f>
        <v/>
      </c>
      <c r="V12" s="20">
        <f>IFERROR(I12*IF($C12="黒弁当",IFERROR(VLOOKUP("ピクルス",サイドマスタ!$A:$F,3,FALSE),0),IFERROR(VLOOKUP("ピクルス",サイドマスタ!$A:$F,4,FALSE),0))*IFERROR(VLOOKUP("ピクルス",サイドマスタ!$A:$F,5,FALSE),0),0)+IFERROR(J12*IF($C12="黒弁当",IFERROR(VLOOKUP("ポテトサラダ",サイドマスタ!$A:$F,3,FALSE),0),IFERROR(VLOOKUP("ポテトサラダ",サイドマスタ!$A:$F,4,FALSE),0))*IFERROR(VLOOKUP("ポテトサラダ",サイドマスタ!$A:$F,5,FALSE),0),0)+IFERROR(K12*IF($C12="黒弁当",IFERROR(VLOOKUP("卵",サイドマスタ!$A:$F,3,FALSE),0),IFERROR(VLOOKUP("卵",サイドマスタ!$A:$F,4,FALSE),0))*IFERROR(VLOOKUP("卵",サイドマスタ!$A:$F,5,FALSE),0),0)+IFERROR(L12*IF($C12="黒弁当",IFERROR(VLOOKUP("ご飯",サイドマスタ!$A:$F,3,FALSE),0),IFERROR(VLOOKUP("ご飯",サイドマスタ!$A:$F,4,FALSE),0))*IFERROR(VLOOKUP("ご飯",サイドマスタ!$A:$F,5,FALSE),0),0)+IFERROR(M12*IF($C12="黒弁当",IFERROR(VLOOKUP("かぼちゃ",サイドマスタ!$A:$F,3,FALSE),0),IFERROR(VLOOKUP("かぼちゃ",サイドマスタ!$A:$F,4,FALSE),0))*IFERROR(VLOOKUP("かぼちゃ",サイドマスタ!$A:$F,5,FALSE),0),0)+IFERROR(N12*IF($C12="黒弁当",IFERROR(VLOOKUP("小エビ",サイドマスタ!$A:$F,3,FALSE),0),IFERROR(VLOOKUP("小エビ",サイドマスタ!$A:$F,4,FALSE),0))*IFERROR(VLOOKUP("小エビ",サイドマスタ!$A:$F,5,FALSE),0),0)+IFERROR(O12*IF($C12="黒弁当",IFERROR(VLOOKUP("有頭エビ",サイドマスタ!$A:$F,3,FALSE),0),IFERROR(VLOOKUP("有頭エビ",サイドマスタ!$A:$F,4,FALSE),0))*IFERROR(VLOOKUP("有頭エビ",サイドマスタ!$A:$F,5,FALSE),0),0)+IFERROR(IF($C12="黒弁当",IFERROR(VLOOKUP("サラダベース",サイドマスタ!$A:$F,3,FALSE),0),IFERROR(VLOOKUP("サラダベース",サイドマスタ!$A:$F,4,FALSE),0))*IFERROR(VLOOKUP("サラダベース",サイドマスタ!$A:$F,5,FALSE),0),0)+IFERROR(IF($C12="黒弁当",IFERROR(VLOOKUP("ミニトマト",サイドマスタ!$A:$F,3,FALSE),0),IFERROR(VLOOKUP("ミニトマト",サイドマスタ!$A:$F,4,FALSE),0))*IFERROR(VLOOKUP("ミニトマト",サイドマスタ!$A:$F,5,FALSE),0),0)+IFERROR(IF($C12="黒弁当",IFERROR(VLOOKUP("蒸し野菜",サイドマスタ!$A:$F,3,FALSE),0),IFERROR(VLOOKUP("蒸し野菜",サイドマスタ!$A:$F,4,FALSE),0))*IFERROR(VLOOKUP("蒸し野菜",サイドマスタ!$A:$F,5,FALSE),0),0)+IFERROR(IF($C12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12" s="20">
        <f>IF(C12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12" s="20">
        <f>IFERROR(VLOOKUP(Q12,ソース定義マスタ!$A$2:$E$12,5,FALSE)*R12,0)+IFERROR(VLOOKUP(S12,ソース定義マスタ!$A$2:$E$12,5,FALSE)*T12,0)</f>
        <v/>
      </c>
      <c r="Y12" s="20">
        <f>IFERROR(VLOOKUP(P12,飲料マスタ!$A$2:$D$5,4,FALSE),0)</f>
        <v/>
      </c>
      <c r="Z12" s="22">
        <f>U12+V12+W12+X12+Y12</f>
        <v/>
      </c>
      <c r="AA12" s="20">
        <f>D12/1.08</f>
        <v/>
      </c>
      <c r="AB12" s="23">
        <f>IFERROR(Z12/AA12,0)</f>
        <v/>
      </c>
      <c r="AC12" s="23">
        <f>IFERROR(1-AB12,0)</f>
        <v/>
      </c>
    </row>
    <row r="13">
      <c r="A13" s="19" t="n">
        <v>12</v>
      </c>
      <c r="B13" s="19" t="inlineStr">
        <is>
          <t>厳選和牛のステーキ弁当</t>
        </is>
      </c>
      <c r="C13" s="19" t="inlineStr">
        <is>
          <t>黒弁当</t>
        </is>
      </c>
      <c r="D13" s="20" t="n">
        <v>3240</v>
      </c>
      <c r="E13" s="19" t="inlineStr">
        <is>
          <t>厳選和牛</t>
        </is>
      </c>
      <c r="F13" s="19" t="n">
        <v>110</v>
      </c>
      <c r="G13" s="19" t="n"/>
      <c r="H13" s="19" t="n"/>
      <c r="I13" s="19" t="n">
        <v>1</v>
      </c>
      <c r="J13" s="19" t="n">
        <v>1</v>
      </c>
      <c r="K13" s="19" t="n">
        <v>1</v>
      </c>
      <c r="L13" s="19" t="n">
        <v>1</v>
      </c>
      <c r="M13" s="19" t="n">
        <v>1</v>
      </c>
      <c r="N13" s="19" t="n">
        <v>1</v>
      </c>
      <c r="O13" s="19" t="n">
        <v>0</v>
      </c>
      <c r="P13" s="19" t="inlineStr">
        <is>
          <t>pet_free</t>
        </is>
      </c>
      <c r="Q13" s="21" t="inlineStr">
        <is>
          <t>エバラおろしのたれ</t>
        </is>
      </c>
      <c r="R13" s="21" t="n">
        <v>30</v>
      </c>
      <c r="S13" s="21" t="n"/>
      <c r="T13" s="21" t="n"/>
      <c r="U13" s="20">
        <f>IFERROR(VLOOKUP(E13,食材マスタ!$A$2:$F$17,6,FALSE)*F13,0)+IFERROR(VLOOKUP(G13,食材マスタ!$A$2:$F$17,6,FALSE)*H13,0)</f>
        <v/>
      </c>
      <c r="V13" s="20">
        <f>IFERROR(I13*IF($C13="黒弁当",IFERROR(VLOOKUP("ピクルス",サイドマスタ!$A:$F,3,FALSE),0),IFERROR(VLOOKUP("ピクルス",サイドマスタ!$A:$F,4,FALSE),0))*IFERROR(VLOOKUP("ピクルス",サイドマスタ!$A:$F,5,FALSE),0),0)+IFERROR(J13*IF($C13="黒弁当",IFERROR(VLOOKUP("ポテトサラダ",サイドマスタ!$A:$F,3,FALSE),0),IFERROR(VLOOKUP("ポテトサラダ",サイドマスタ!$A:$F,4,FALSE),0))*IFERROR(VLOOKUP("ポテトサラダ",サイドマスタ!$A:$F,5,FALSE),0),0)+IFERROR(K13*IF($C13="黒弁当",IFERROR(VLOOKUP("卵",サイドマスタ!$A:$F,3,FALSE),0),IFERROR(VLOOKUP("卵",サイドマスタ!$A:$F,4,FALSE),0))*IFERROR(VLOOKUP("卵",サイドマスタ!$A:$F,5,FALSE),0),0)+IFERROR(L13*IF($C13="黒弁当",IFERROR(VLOOKUP("ご飯",サイドマスタ!$A:$F,3,FALSE),0),IFERROR(VLOOKUP("ご飯",サイドマスタ!$A:$F,4,FALSE),0))*IFERROR(VLOOKUP("ご飯",サイドマスタ!$A:$F,5,FALSE),0),0)+IFERROR(M13*IF($C13="黒弁当",IFERROR(VLOOKUP("かぼちゃ",サイドマスタ!$A:$F,3,FALSE),0),IFERROR(VLOOKUP("かぼちゃ",サイドマスタ!$A:$F,4,FALSE),0))*IFERROR(VLOOKUP("かぼちゃ",サイドマスタ!$A:$F,5,FALSE),0),0)+IFERROR(N13*IF($C13="黒弁当",IFERROR(VLOOKUP("小エビ",サイドマスタ!$A:$F,3,FALSE),0),IFERROR(VLOOKUP("小エビ",サイドマスタ!$A:$F,4,FALSE),0))*IFERROR(VLOOKUP("小エビ",サイドマスタ!$A:$F,5,FALSE),0),0)+IFERROR(O13*IF($C13="黒弁当",IFERROR(VLOOKUP("有頭エビ",サイドマスタ!$A:$F,3,FALSE),0),IFERROR(VLOOKUP("有頭エビ",サイドマスタ!$A:$F,4,FALSE),0))*IFERROR(VLOOKUP("有頭エビ",サイドマスタ!$A:$F,5,FALSE),0),0)+IFERROR(IF($C13="黒弁当",IFERROR(VLOOKUP("サラダベース",サイドマスタ!$A:$F,3,FALSE),0),IFERROR(VLOOKUP("サラダベース",サイドマスタ!$A:$F,4,FALSE),0))*IFERROR(VLOOKUP("サラダベース",サイドマスタ!$A:$F,5,FALSE),0),0)+IFERROR(IF($C13="黒弁当",IFERROR(VLOOKUP("ミニトマト",サイドマスタ!$A:$F,3,FALSE),0),IFERROR(VLOOKUP("ミニトマト",サイドマスタ!$A:$F,4,FALSE),0))*IFERROR(VLOOKUP("ミニトマト",サイドマスタ!$A:$F,5,FALSE),0),0)+IFERROR(IF($C13="黒弁当",IFERROR(VLOOKUP("蒸し野菜",サイドマスタ!$A:$F,3,FALSE),0),IFERROR(VLOOKUP("蒸し野菜",サイドマスタ!$A:$F,4,FALSE),0))*IFERROR(VLOOKUP("蒸し野菜",サイドマスタ!$A:$F,5,FALSE),0),0)+IFERROR(IF($C13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13" s="20">
        <f>IF(C13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13" s="20">
        <f>IFERROR(VLOOKUP(Q13,ソース定義マスタ!$A$2:$E$12,5,FALSE)*R13,0)+IFERROR(VLOOKUP(S13,ソース定義マスタ!$A$2:$E$12,5,FALSE)*T13,0)</f>
        <v/>
      </c>
      <c r="Y13" s="20">
        <f>IFERROR(VLOOKUP(P13,飲料マスタ!$A$2:$D$5,4,FALSE),0)</f>
        <v/>
      </c>
      <c r="Z13" s="22">
        <f>U13+V13+W13+X13+Y13</f>
        <v/>
      </c>
      <c r="AA13" s="20">
        <f>D13/1.08</f>
        <v/>
      </c>
      <c r="AB13" s="23">
        <f>IFERROR(Z13/AA13,0)</f>
        <v/>
      </c>
      <c r="AC13" s="23">
        <f>IFERROR(1-AB13,0)</f>
        <v/>
      </c>
    </row>
    <row r="14">
      <c r="A14" s="19" t="n">
        <v>13</v>
      </c>
      <c r="B14" s="19" t="inlineStr">
        <is>
          <t>特選ハラミのステーキとローストビーフ弁当</t>
        </is>
      </c>
      <c r="C14" s="19" t="inlineStr">
        <is>
          <t>新弁当</t>
        </is>
      </c>
      <c r="D14" s="20" t="n">
        <v>2100</v>
      </c>
      <c r="E14" s="19" t="inlineStr">
        <is>
          <t>ハラミ</t>
        </is>
      </c>
      <c r="F14" s="19" t="n">
        <v>52</v>
      </c>
      <c r="G14" s="19" t="inlineStr">
        <is>
          <t>ロービー</t>
        </is>
      </c>
      <c r="H14" s="19" t="n">
        <v>42</v>
      </c>
      <c r="I14" s="19" t="n">
        <v>1</v>
      </c>
      <c r="J14" s="19" t="n">
        <v>1</v>
      </c>
      <c r="K14" s="19" t="n">
        <v>1</v>
      </c>
      <c r="L14" s="19" t="n">
        <v>1</v>
      </c>
      <c r="M14" s="19" t="n">
        <v>0</v>
      </c>
      <c r="N14" s="19" t="n">
        <v>0</v>
      </c>
      <c r="O14" s="19" t="n">
        <v>0</v>
      </c>
      <c r="P14" s="19" t="inlineStr">
        <is>
          <t>none</t>
        </is>
      </c>
      <c r="Q14" s="21" t="inlineStr">
        <is>
          <t>オニオンソース</t>
        </is>
      </c>
      <c r="R14" s="21" t="n">
        <v>20</v>
      </c>
      <c r="S14" s="21" t="inlineStr">
        <is>
          <t>エバラおろしのたれ</t>
        </is>
      </c>
      <c r="T14" s="21" t="n">
        <v>20</v>
      </c>
      <c r="U14" s="20">
        <f>IFERROR(VLOOKUP(E14,食材マスタ!$A$2:$F$17,6,FALSE)*F14,0)+IFERROR(VLOOKUP(G14,食材マスタ!$A$2:$F$17,6,FALSE)*H14,0)</f>
        <v/>
      </c>
      <c r="V14" s="20">
        <f>IFERROR(I14*IF($C14="黒弁当",IFERROR(VLOOKUP("ピクルス",サイドマスタ!$A:$F,3,FALSE),0),IFERROR(VLOOKUP("ピクルス",サイドマスタ!$A:$F,4,FALSE),0))*IFERROR(VLOOKUP("ピクルス",サイドマスタ!$A:$F,5,FALSE),0),0)+IFERROR(J14*IF($C14="黒弁当",IFERROR(VLOOKUP("ポテトサラダ",サイドマスタ!$A:$F,3,FALSE),0),IFERROR(VLOOKUP("ポテトサラダ",サイドマスタ!$A:$F,4,FALSE),0))*IFERROR(VLOOKUP("ポテトサラダ",サイドマスタ!$A:$F,5,FALSE),0),0)+IFERROR(K14*IF($C14="黒弁当",IFERROR(VLOOKUP("卵",サイドマスタ!$A:$F,3,FALSE),0),IFERROR(VLOOKUP("卵",サイドマスタ!$A:$F,4,FALSE),0))*IFERROR(VLOOKUP("卵",サイドマスタ!$A:$F,5,FALSE),0),0)+IFERROR(L14*IF($C14="黒弁当",IFERROR(VLOOKUP("ご飯",サイドマスタ!$A:$F,3,FALSE),0),IFERROR(VLOOKUP("ご飯",サイドマスタ!$A:$F,4,FALSE),0))*IFERROR(VLOOKUP("ご飯",サイドマスタ!$A:$F,5,FALSE),0),0)+IFERROR(M14*IF($C14="黒弁当",IFERROR(VLOOKUP("かぼちゃ",サイドマスタ!$A:$F,3,FALSE),0),IFERROR(VLOOKUP("かぼちゃ",サイドマスタ!$A:$F,4,FALSE),0))*IFERROR(VLOOKUP("かぼちゃ",サイドマスタ!$A:$F,5,FALSE),0),0)+IFERROR(N14*IF($C14="黒弁当",IFERROR(VLOOKUP("小エビ",サイドマスタ!$A:$F,3,FALSE),0),IFERROR(VLOOKUP("小エビ",サイドマスタ!$A:$F,4,FALSE),0))*IFERROR(VLOOKUP("小エビ",サイドマスタ!$A:$F,5,FALSE),0),0)+IFERROR(O14*IF($C14="黒弁当",IFERROR(VLOOKUP("有頭エビ",サイドマスタ!$A:$F,3,FALSE),0),IFERROR(VLOOKUP("有頭エビ",サイドマスタ!$A:$F,4,FALSE),0))*IFERROR(VLOOKUP("有頭エビ",サイドマスタ!$A:$F,5,FALSE),0),0)+IFERROR(IF($C14="黒弁当",IFERROR(VLOOKUP("サラダベース",サイドマスタ!$A:$F,3,FALSE),0),IFERROR(VLOOKUP("サラダベース",サイドマスタ!$A:$F,4,FALSE),0))*IFERROR(VLOOKUP("サラダベース",サイドマスタ!$A:$F,5,FALSE),0),0)+IFERROR(IF($C14="黒弁当",IFERROR(VLOOKUP("ミニトマト",サイドマスタ!$A:$F,3,FALSE),0),IFERROR(VLOOKUP("ミニトマト",サイドマスタ!$A:$F,4,FALSE),0))*IFERROR(VLOOKUP("ミニトマト",サイドマスタ!$A:$F,5,FALSE),0),0)+IFERROR(IF($C14="黒弁当",IFERROR(VLOOKUP("蒸し野菜",サイドマスタ!$A:$F,3,FALSE),0),IFERROR(VLOOKUP("蒸し野菜",サイドマスタ!$A:$F,4,FALSE),0))*IFERROR(VLOOKUP("蒸し野菜",サイドマスタ!$A:$F,5,FALSE),0),0)+IFERROR(IF($C14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14" s="20">
        <f>IF(C14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14" s="20">
        <f>IFERROR(VLOOKUP(Q14,ソース定義マスタ!$A$2:$E$12,5,FALSE)*R14,0)+IFERROR(VLOOKUP(S14,ソース定義マスタ!$A$2:$E$12,5,FALSE)*T14,0)</f>
        <v/>
      </c>
      <c r="Y14" s="20">
        <f>IFERROR(VLOOKUP(P14,飲料マスタ!$A$2:$D$5,4,FALSE),0)</f>
        <v/>
      </c>
      <c r="Z14" s="22">
        <f>U14+V14+W14+X14+Y14</f>
        <v/>
      </c>
      <c r="AA14" s="20">
        <f>D14/1.08</f>
        <v/>
      </c>
      <c r="AB14" s="23">
        <f>IFERROR(Z14/AA14,0)</f>
        <v/>
      </c>
      <c r="AC14" s="23">
        <f>IFERROR(1-AB14,0)</f>
        <v/>
      </c>
    </row>
    <row r="15">
      <c r="A15" s="19" t="n">
        <v>14</v>
      </c>
      <c r="B15" s="19" t="inlineStr">
        <is>
          <t>特選ハラミのステーキ弁当</t>
        </is>
      </c>
      <c r="C15" s="19" t="inlineStr">
        <is>
          <t>新弁当</t>
        </is>
      </c>
      <c r="D15" s="20" t="n">
        <v>1900</v>
      </c>
      <c r="E15" s="19" t="inlineStr">
        <is>
          <t>ハラミ</t>
        </is>
      </c>
      <c r="F15" s="19" t="n">
        <v>105</v>
      </c>
      <c r="G15" s="19" t="n"/>
      <c r="H15" s="19" t="n"/>
      <c r="I15" s="19" t="n">
        <v>1</v>
      </c>
      <c r="J15" s="19" t="n">
        <v>1</v>
      </c>
      <c r="K15" s="19" t="n">
        <v>1</v>
      </c>
      <c r="L15" s="19" t="n">
        <v>1</v>
      </c>
      <c r="M15" s="19" t="n">
        <v>0</v>
      </c>
      <c r="N15" s="19" t="n">
        <v>0</v>
      </c>
      <c r="O15" s="19" t="n">
        <v>0</v>
      </c>
      <c r="P15" s="19" t="inlineStr">
        <is>
          <t>none</t>
        </is>
      </c>
      <c r="Q15" s="21" t="inlineStr">
        <is>
          <t>オニオンソース</t>
        </is>
      </c>
      <c r="R15" s="21" t="n">
        <v>30</v>
      </c>
      <c r="S15" s="21" t="n"/>
      <c r="T15" s="21" t="n"/>
      <c r="U15" s="20">
        <f>IFERROR(VLOOKUP(E15,食材マスタ!$A$2:$F$17,6,FALSE)*F15,0)+IFERROR(VLOOKUP(G15,食材マスタ!$A$2:$F$17,6,FALSE)*H15,0)</f>
        <v/>
      </c>
      <c r="V15" s="20">
        <f>IFERROR(I15*IF($C15="黒弁当",IFERROR(VLOOKUP("ピクルス",サイドマスタ!$A:$F,3,FALSE),0),IFERROR(VLOOKUP("ピクルス",サイドマスタ!$A:$F,4,FALSE),0))*IFERROR(VLOOKUP("ピクルス",サイドマスタ!$A:$F,5,FALSE),0),0)+IFERROR(J15*IF($C15="黒弁当",IFERROR(VLOOKUP("ポテトサラダ",サイドマスタ!$A:$F,3,FALSE),0),IFERROR(VLOOKUP("ポテトサラダ",サイドマスタ!$A:$F,4,FALSE),0))*IFERROR(VLOOKUP("ポテトサラダ",サイドマスタ!$A:$F,5,FALSE),0),0)+IFERROR(K15*IF($C15="黒弁当",IFERROR(VLOOKUP("卵",サイドマスタ!$A:$F,3,FALSE),0),IFERROR(VLOOKUP("卵",サイドマスタ!$A:$F,4,FALSE),0))*IFERROR(VLOOKUP("卵",サイドマスタ!$A:$F,5,FALSE),0),0)+IFERROR(L15*IF($C15="黒弁当",IFERROR(VLOOKUP("ご飯",サイドマスタ!$A:$F,3,FALSE),0),IFERROR(VLOOKUP("ご飯",サイドマスタ!$A:$F,4,FALSE),0))*IFERROR(VLOOKUP("ご飯",サイドマスタ!$A:$F,5,FALSE),0),0)+IFERROR(M15*IF($C15="黒弁当",IFERROR(VLOOKUP("かぼちゃ",サイドマスタ!$A:$F,3,FALSE),0),IFERROR(VLOOKUP("かぼちゃ",サイドマスタ!$A:$F,4,FALSE),0))*IFERROR(VLOOKUP("かぼちゃ",サイドマスタ!$A:$F,5,FALSE),0),0)+IFERROR(N15*IF($C15="黒弁当",IFERROR(VLOOKUP("小エビ",サイドマスタ!$A:$F,3,FALSE),0),IFERROR(VLOOKUP("小エビ",サイドマスタ!$A:$F,4,FALSE),0))*IFERROR(VLOOKUP("小エビ",サイドマスタ!$A:$F,5,FALSE),0),0)+IFERROR(O15*IF($C15="黒弁当",IFERROR(VLOOKUP("有頭エビ",サイドマスタ!$A:$F,3,FALSE),0),IFERROR(VLOOKUP("有頭エビ",サイドマスタ!$A:$F,4,FALSE),0))*IFERROR(VLOOKUP("有頭エビ",サイドマスタ!$A:$F,5,FALSE),0),0)+IFERROR(IF($C15="黒弁当",IFERROR(VLOOKUP("サラダベース",サイドマスタ!$A:$F,3,FALSE),0),IFERROR(VLOOKUP("サラダベース",サイドマスタ!$A:$F,4,FALSE),0))*IFERROR(VLOOKUP("サラダベース",サイドマスタ!$A:$F,5,FALSE),0),0)+IFERROR(IF($C15="黒弁当",IFERROR(VLOOKUP("ミニトマト",サイドマスタ!$A:$F,3,FALSE),0),IFERROR(VLOOKUP("ミニトマト",サイドマスタ!$A:$F,4,FALSE),0))*IFERROR(VLOOKUP("ミニトマト",サイドマスタ!$A:$F,5,FALSE),0),0)+IFERROR(IF($C15="黒弁当",IFERROR(VLOOKUP("蒸し野菜",サイドマスタ!$A:$F,3,FALSE),0),IFERROR(VLOOKUP("蒸し野菜",サイドマスタ!$A:$F,4,FALSE),0))*IFERROR(VLOOKUP("蒸し野菜",サイドマスタ!$A:$F,5,FALSE),0),0)+IFERROR(IF($C15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15" s="20">
        <f>IF(C15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15" s="20">
        <f>IFERROR(VLOOKUP(Q15,ソース定義マスタ!$A$2:$E$12,5,FALSE)*R15,0)+IFERROR(VLOOKUP(S15,ソース定義マスタ!$A$2:$E$12,5,FALSE)*T15,0)</f>
        <v/>
      </c>
      <c r="Y15" s="20">
        <f>IFERROR(VLOOKUP(P15,飲料マスタ!$A$2:$D$5,4,FALSE),0)</f>
        <v/>
      </c>
      <c r="Z15" s="22">
        <f>U15+V15+W15+X15+Y15</f>
        <v/>
      </c>
      <c r="AA15" s="20">
        <f>D15/1.08</f>
        <v/>
      </c>
      <c r="AB15" s="23">
        <f>IFERROR(Z15/AA15,0)</f>
        <v/>
      </c>
      <c r="AC15" s="23">
        <f>IFERROR(1-AB15,0)</f>
        <v/>
      </c>
    </row>
    <row r="16">
      <c r="A16" s="19" t="n">
        <v>15</v>
      </c>
      <c r="B16" s="19" t="inlineStr">
        <is>
          <t>ローストビーフ弁当</t>
        </is>
      </c>
      <c r="C16" s="19" t="inlineStr">
        <is>
          <t>新弁当</t>
        </is>
      </c>
      <c r="D16" s="20" t="n">
        <v>1900</v>
      </c>
      <c r="E16" s="19" t="inlineStr">
        <is>
          <t>ロービー</t>
        </is>
      </c>
      <c r="F16" s="19" t="n">
        <v>85</v>
      </c>
      <c r="G16" s="19" t="n"/>
      <c r="H16" s="19" t="n"/>
      <c r="I16" s="19" t="n">
        <v>1</v>
      </c>
      <c r="J16" s="19" t="n">
        <v>1</v>
      </c>
      <c r="K16" s="19" t="n">
        <v>1</v>
      </c>
      <c r="L16" s="19" t="n">
        <v>1</v>
      </c>
      <c r="M16" s="19" t="n">
        <v>0</v>
      </c>
      <c r="N16" s="19" t="n">
        <v>0</v>
      </c>
      <c r="O16" s="19" t="n">
        <v>0</v>
      </c>
      <c r="P16" s="19" t="inlineStr">
        <is>
          <t>none</t>
        </is>
      </c>
      <c r="Q16" s="21" t="inlineStr">
        <is>
          <t>エバラおろしのたれ</t>
        </is>
      </c>
      <c r="R16" s="21" t="n">
        <v>30</v>
      </c>
      <c r="S16" s="21" t="n"/>
      <c r="T16" s="21" t="n"/>
      <c r="U16" s="20">
        <f>IFERROR(VLOOKUP(E16,食材マスタ!$A$2:$F$17,6,FALSE)*F16,0)+IFERROR(VLOOKUP(G16,食材マスタ!$A$2:$F$17,6,FALSE)*H16,0)</f>
        <v/>
      </c>
      <c r="V16" s="20">
        <f>IFERROR(I16*IF($C16="黒弁当",IFERROR(VLOOKUP("ピクルス",サイドマスタ!$A:$F,3,FALSE),0),IFERROR(VLOOKUP("ピクルス",サイドマスタ!$A:$F,4,FALSE),0))*IFERROR(VLOOKUP("ピクルス",サイドマスタ!$A:$F,5,FALSE),0),0)+IFERROR(J16*IF($C16="黒弁当",IFERROR(VLOOKUP("ポテトサラダ",サイドマスタ!$A:$F,3,FALSE),0),IFERROR(VLOOKUP("ポテトサラダ",サイドマスタ!$A:$F,4,FALSE),0))*IFERROR(VLOOKUP("ポテトサラダ",サイドマスタ!$A:$F,5,FALSE),0),0)+IFERROR(K16*IF($C16="黒弁当",IFERROR(VLOOKUP("卵",サイドマスタ!$A:$F,3,FALSE),0),IFERROR(VLOOKUP("卵",サイドマスタ!$A:$F,4,FALSE),0))*IFERROR(VLOOKUP("卵",サイドマスタ!$A:$F,5,FALSE),0),0)+IFERROR(L16*IF($C16="黒弁当",IFERROR(VLOOKUP("ご飯",サイドマスタ!$A:$F,3,FALSE),0),IFERROR(VLOOKUP("ご飯",サイドマスタ!$A:$F,4,FALSE),0))*IFERROR(VLOOKUP("ご飯",サイドマスタ!$A:$F,5,FALSE),0),0)+IFERROR(M16*IF($C16="黒弁当",IFERROR(VLOOKUP("かぼちゃ",サイドマスタ!$A:$F,3,FALSE),0),IFERROR(VLOOKUP("かぼちゃ",サイドマスタ!$A:$F,4,FALSE),0))*IFERROR(VLOOKUP("かぼちゃ",サイドマスタ!$A:$F,5,FALSE),0),0)+IFERROR(N16*IF($C16="黒弁当",IFERROR(VLOOKUP("小エビ",サイドマスタ!$A:$F,3,FALSE),0),IFERROR(VLOOKUP("小エビ",サイドマスタ!$A:$F,4,FALSE),0))*IFERROR(VLOOKUP("小エビ",サイドマスタ!$A:$F,5,FALSE),0),0)+IFERROR(O16*IF($C16="黒弁当",IFERROR(VLOOKUP("有頭エビ",サイドマスタ!$A:$F,3,FALSE),0),IFERROR(VLOOKUP("有頭エビ",サイドマスタ!$A:$F,4,FALSE),0))*IFERROR(VLOOKUP("有頭エビ",サイドマスタ!$A:$F,5,FALSE),0),0)+IFERROR(IF($C16="黒弁当",IFERROR(VLOOKUP("サラダベース",サイドマスタ!$A:$F,3,FALSE),0),IFERROR(VLOOKUP("サラダベース",サイドマスタ!$A:$F,4,FALSE),0))*IFERROR(VLOOKUP("サラダベース",サイドマスタ!$A:$F,5,FALSE),0),0)+IFERROR(IF($C16="黒弁当",IFERROR(VLOOKUP("ミニトマト",サイドマスタ!$A:$F,3,FALSE),0),IFERROR(VLOOKUP("ミニトマト",サイドマスタ!$A:$F,4,FALSE),0))*IFERROR(VLOOKUP("ミニトマト",サイドマスタ!$A:$F,5,FALSE),0),0)+IFERROR(IF($C16="黒弁当",IFERROR(VLOOKUP("蒸し野菜",サイドマスタ!$A:$F,3,FALSE),0),IFERROR(VLOOKUP("蒸し野菜",サイドマスタ!$A:$F,4,FALSE),0))*IFERROR(VLOOKUP("蒸し野菜",サイドマスタ!$A:$F,5,FALSE),0),0)+IFERROR(IF($C16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16" s="20">
        <f>IF(C16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16" s="20">
        <f>IFERROR(VLOOKUP(Q16,ソース定義マスタ!$A$2:$E$12,5,FALSE)*R16,0)+IFERROR(VLOOKUP(S16,ソース定義マスタ!$A$2:$E$12,5,FALSE)*T16,0)</f>
        <v/>
      </c>
      <c r="Y16" s="20">
        <f>IFERROR(VLOOKUP(P16,飲料マスタ!$A$2:$D$5,4,FALSE),0)</f>
        <v/>
      </c>
      <c r="Z16" s="22">
        <f>U16+V16+W16+X16+Y16</f>
        <v/>
      </c>
      <c r="AA16" s="20">
        <f>D16/1.08</f>
        <v/>
      </c>
      <c r="AB16" s="23">
        <f>IFERROR(Z16/AA16,0)</f>
        <v/>
      </c>
      <c r="AC16" s="23">
        <f>IFERROR(1-AB16,0)</f>
        <v/>
      </c>
    </row>
    <row r="17">
      <c r="A17" s="19" t="n">
        <v>16</v>
      </c>
      <c r="B17" s="19" t="inlineStr">
        <is>
          <t>特選ハラミのステーキとハンバーグ弁当</t>
        </is>
      </c>
      <c r="C17" s="19" t="inlineStr">
        <is>
          <t>新弁当</t>
        </is>
      </c>
      <c r="D17" s="20" t="n">
        <v>1800</v>
      </c>
      <c r="E17" s="19" t="inlineStr">
        <is>
          <t>ハラミ</t>
        </is>
      </c>
      <c r="F17" s="19" t="n">
        <v>52</v>
      </c>
      <c r="G17" s="19" t="inlineStr">
        <is>
          <t>120gバーグ</t>
        </is>
      </c>
      <c r="H17" s="19" t="n">
        <v>0.5</v>
      </c>
      <c r="I17" s="19" t="n">
        <v>1</v>
      </c>
      <c r="J17" s="19" t="n">
        <v>1</v>
      </c>
      <c r="K17" s="19" t="n">
        <v>1</v>
      </c>
      <c r="L17" s="19" t="n">
        <v>1</v>
      </c>
      <c r="M17" s="19" t="n">
        <v>0</v>
      </c>
      <c r="N17" s="19" t="n">
        <v>0</v>
      </c>
      <c r="O17" s="19" t="n">
        <v>0</v>
      </c>
      <c r="P17" s="19" t="inlineStr">
        <is>
          <t>none</t>
        </is>
      </c>
      <c r="Q17" s="21" t="inlineStr">
        <is>
          <t>オニオンソース</t>
        </is>
      </c>
      <c r="R17" s="21" t="n">
        <v>20</v>
      </c>
      <c r="S17" s="21" t="inlineStr">
        <is>
          <t>ハンバーグソース</t>
        </is>
      </c>
      <c r="T17" s="21" t="n">
        <v>25</v>
      </c>
      <c r="U17" s="20">
        <f>IFERROR(VLOOKUP(E17,食材マスタ!$A$2:$F$17,6,FALSE)*F17,0)+IFERROR(VLOOKUP(G17,食材マスタ!$A$2:$F$17,6,FALSE)*H17,0)</f>
        <v/>
      </c>
      <c r="V17" s="20">
        <f>IFERROR(I17*IF($C17="黒弁当",IFERROR(VLOOKUP("ピクルス",サイドマスタ!$A:$F,3,FALSE),0),IFERROR(VLOOKUP("ピクルス",サイドマスタ!$A:$F,4,FALSE),0))*IFERROR(VLOOKUP("ピクルス",サイドマスタ!$A:$F,5,FALSE),0),0)+IFERROR(J17*IF($C17="黒弁当",IFERROR(VLOOKUP("ポテトサラダ",サイドマスタ!$A:$F,3,FALSE),0),IFERROR(VLOOKUP("ポテトサラダ",サイドマスタ!$A:$F,4,FALSE),0))*IFERROR(VLOOKUP("ポテトサラダ",サイドマスタ!$A:$F,5,FALSE),0),0)+IFERROR(K17*IF($C17="黒弁当",IFERROR(VLOOKUP("卵",サイドマスタ!$A:$F,3,FALSE),0),IFERROR(VLOOKUP("卵",サイドマスタ!$A:$F,4,FALSE),0))*IFERROR(VLOOKUP("卵",サイドマスタ!$A:$F,5,FALSE),0),0)+IFERROR(L17*IF($C17="黒弁当",IFERROR(VLOOKUP("ご飯",サイドマスタ!$A:$F,3,FALSE),0),IFERROR(VLOOKUP("ご飯",サイドマスタ!$A:$F,4,FALSE),0))*IFERROR(VLOOKUP("ご飯",サイドマスタ!$A:$F,5,FALSE),0),0)+IFERROR(M17*IF($C17="黒弁当",IFERROR(VLOOKUP("かぼちゃ",サイドマスタ!$A:$F,3,FALSE),0),IFERROR(VLOOKUP("かぼちゃ",サイドマスタ!$A:$F,4,FALSE),0))*IFERROR(VLOOKUP("かぼちゃ",サイドマスタ!$A:$F,5,FALSE),0),0)+IFERROR(N17*IF($C17="黒弁当",IFERROR(VLOOKUP("小エビ",サイドマスタ!$A:$F,3,FALSE),0),IFERROR(VLOOKUP("小エビ",サイドマスタ!$A:$F,4,FALSE),0))*IFERROR(VLOOKUP("小エビ",サイドマスタ!$A:$F,5,FALSE),0),0)+IFERROR(O17*IF($C17="黒弁当",IFERROR(VLOOKUP("有頭エビ",サイドマスタ!$A:$F,3,FALSE),0),IFERROR(VLOOKUP("有頭エビ",サイドマスタ!$A:$F,4,FALSE),0))*IFERROR(VLOOKUP("有頭エビ",サイドマスタ!$A:$F,5,FALSE),0),0)+IFERROR(IF($C17="黒弁当",IFERROR(VLOOKUP("サラダベース",サイドマスタ!$A:$F,3,FALSE),0),IFERROR(VLOOKUP("サラダベース",サイドマスタ!$A:$F,4,FALSE),0))*IFERROR(VLOOKUP("サラダベース",サイドマスタ!$A:$F,5,FALSE),0),0)+IFERROR(IF($C17="黒弁当",IFERROR(VLOOKUP("ミニトマト",サイドマスタ!$A:$F,3,FALSE),0),IFERROR(VLOOKUP("ミニトマト",サイドマスタ!$A:$F,4,FALSE),0))*IFERROR(VLOOKUP("ミニトマト",サイドマスタ!$A:$F,5,FALSE),0),0)+IFERROR(IF($C17="黒弁当",IFERROR(VLOOKUP("蒸し野菜",サイドマスタ!$A:$F,3,FALSE),0),IFERROR(VLOOKUP("蒸し野菜",サイドマスタ!$A:$F,4,FALSE),0))*IFERROR(VLOOKUP("蒸し野菜",サイドマスタ!$A:$F,5,FALSE),0),0)+IFERROR(IF($C17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17" s="20">
        <f>IF(C17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17" s="20">
        <f>IFERROR(VLOOKUP(Q17,ソース定義マスタ!$A$2:$E$12,5,FALSE)*R17,0)+IFERROR(VLOOKUP(S17,ソース定義マスタ!$A$2:$E$12,5,FALSE)*T17,0)</f>
        <v/>
      </c>
      <c r="Y17" s="20">
        <f>IFERROR(VLOOKUP(P17,飲料マスタ!$A$2:$D$5,4,FALSE),0)</f>
        <v/>
      </c>
      <c r="Z17" s="22">
        <f>U17+V17+W17+X17+Y17</f>
        <v/>
      </c>
      <c r="AA17" s="20">
        <f>D17/1.08</f>
        <v/>
      </c>
      <c r="AB17" s="23">
        <f>IFERROR(Z17/AA17,0)</f>
        <v/>
      </c>
      <c r="AC17" s="23">
        <f>IFERROR(1-AB17,0)</f>
        <v/>
      </c>
    </row>
    <row r="18">
      <c r="A18" s="19" t="n">
        <v>17</v>
      </c>
      <c r="B18" s="19" t="inlineStr">
        <is>
          <t>赤城牛のハンバーグ弁当</t>
        </is>
      </c>
      <c r="C18" s="19" t="inlineStr">
        <is>
          <t>新弁当</t>
        </is>
      </c>
      <c r="D18" s="20" t="n">
        <v>1700</v>
      </c>
      <c r="E18" s="19" t="inlineStr">
        <is>
          <t>150gバーグ</t>
        </is>
      </c>
      <c r="F18" s="19" t="n">
        <v>1</v>
      </c>
      <c r="G18" s="19" t="n"/>
      <c r="H18" s="19" t="n"/>
      <c r="I18" s="19" t="n">
        <v>1</v>
      </c>
      <c r="J18" s="19" t="n">
        <v>1</v>
      </c>
      <c r="K18" s="19" t="n">
        <v>1</v>
      </c>
      <c r="L18" s="19" t="n">
        <v>1</v>
      </c>
      <c r="M18" s="19" t="n">
        <v>0</v>
      </c>
      <c r="N18" s="19" t="n">
        <v>0</v>
      </c>
      <c r="O18" s="19" t="n">
        <v>0</v>
      </c>
      <c r="P18" s="19" t="inlineStr">
        <is>
          <t>none</t>
        </is>
      </c>
      <c r="Q18" s="21" t="inlineStr">
        <is>
          <t>ハンバーグソース</t>
        </is>
      </c>
      <c r="R18" s="21" t="n">
        <v>40</v>
      </c>
      <c r="S18" s="21" t="n"/>
      <c r="T18" s="21" t="n"/>
      <c r="U18" s="20">
        <f>IFERROR(VLOOKUP(E18,食材マスタ!$A$2:$F$17,6,FALSE)*F18,0)+IFERROR(VLOOKUP(G18,食材マスタ!$A$2:$F$17,6,FALSE)*H18,0)</f>
        <v/>
      </c>
      <c r="V18" s="20">
        <f>IFERROR(I18*IF($C18="黒弁当",IFERROR(VLOOKUP("ピクルス",サイドマスタ!$A:$F,3,FALSE),0),IFERROR(VLOOKUP("ピクルス",サイドマスタ!$A:$F,4,FALSE),0))*IFERROR(VLOOKUP("ピクルス",サイドマスタ!$A:$F,5,FALSE),0),0)+IFERROR(J18*IF($C18="黒弁当",IFERROR(VLOOKUP("ポテトサラダ",サイドマスタ!$A:$F,3,FALSE),0),IFERROR(VLOOKUP("ポテトサラダ",サイドマスタ!$A:$F,4,FALSE),0))*IFERROR(VLOOKUP("ポテトサラダ",サイドマスタ!$A:$F,5,FALSE),0),0)+IFERROR(K18*IF($C18="黒弁当",IFERROR(VLOOKUP("卵",サイドマスタ!$A:$F,3,FALSE),0),IFERROR(VLOOKUP("卵",サイドマスタ!$A:$F,4,FALSE),0))*IFERROR(VLOOKUP("卵",サイドマスタ!$A:$F,5,FALSE),0),0)+IFERROR(L18*IF($C18="黒弁当",IFERROR(VLOOKUP("ご飯",サイドマスタ!$A:$F,3,FALSE),0),IFERROR(VLOOKUP("ご飯",サイドマスタ!$A:$F,4,FALSE),0))*IFERROR(VLOOKUP("ご飯",サイドマスタ!$A:$F,5,FALSE),0),0)+IFERROR(M18*IF($C18="黒弁当",IFERROR(VLOOKUP("かぼちゃ",サイドマスタ!$A:$F,3,FALSE),0),IFERROR(VLOOKUP("かぼちゃ",サイドマスタ!$A:$F,4,FALSE),0))*IFERROR(VLOOKUP("かぼちゃ",サイドマスタ!$A:$F,5,FALSE),0),0)+IFERROR(N18*IF($C18="黒弁当",IFERROR(VLOOKUP("小エビ",サイドマスタ!$A:$F,3,FALSE),0),IFERROR(VLOOKUP("小エビ",サイドマスタ!$A:$F,4,FALSE),0))*IFERROR(VLOOKUP("小エビ",サイドマスタ!$A:$F,5,FALSE),0),0)+IFERROR(O18*IF($C18="黒弁当",IFERROR(VLOOKUP("有頭エビ",サイドマスタ!$A:$F,3,FALSE),0),IFERROR(VLOOKUP("有頭エビ",サイドマスタ!$A:$F,4,FALSE),0))*IFERROR(VLOOKUP("有頭エビ",サイドマスタ!$A:$F,5,FALSE),0),0)+IFERROR(IF($C18="黒弁当",IFERROR(VLOOKUP("サラダベース",サイドマスタ!$A:$F,3,FALSE),0),IFERROR(VLOOKUP("サラダベース",サイドマスタ!$A:$F,4,FALSE),0))*IFERROR(VLOOKUP("サラダベース",サイドマスタ!$A:$F,5,FALSE),0),0)+IFERROR(IF($C18="黒弁当",IFERROR(VLOOKUP("ミニトマト",サイドマスタ!$A:$F,3,FALSE),0),IFERROR(VLOOKUP("ミニトマト",サイドマスタ!$A:$F,4,FALSE),0))*IFERROR(VLOOKUP("ミニトマト",サイドマスタ!$A:$F,5,FALSE),0),0)+IFERROR(IF($C18="黒弁当",IFERROR(VLOOKUP("蒸し野菜",サイドマスタ!$A:$F,3,FALSE),0),IFERROR(VLOOKUP("蒸し野菜",サイドマスタ!$A:$F,4,FALSE),0))*IFERROR(VLOOKUP("蒸し野菜",サイドマスタ!$A:$F,5,FALSE),0),0)+IFERROR(IF($C18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18" s="20">
        <f>IF(C18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18" s="20">
        <f>IFERROR(VLOOKUP(Q18,ソース定義マスタ!$A$2:$E$12,5,FALSE)*R18,0)+IFERROR(VLOOKUP(S18,ソース定義マスタ!$A$2:$E$12,5,FALSE)*T18,0)</f>
        <v/>
      </c>
      <c r="Y18" s="20">
        <f>IFERROR(VLOOKUP(P18,飲料マスタ!$A$2:$D$5,4,FALSE),0)</f>
        <v/>
      </c>
      <c r="Z18" s="22">
        <f>U18+V18+W18+X18+Y18</f>
        <v/>
      </c>
      <c r="AA18" s="20">
        <f>D18/1.08</f>
        <v/>
      </c>
      <c r="AB18" s="23">
        <f>IFERROR(Z18/AA18,0)</f>
        <v/>
      </c>
      <c r="AC18" s="23">
        <f>IFERROR(1-AB18,0)</f>
        <v/>
      </c>
    </row>
    <row r="19">
      <c r="A19" s="19" t="n">
        <v>18</v>
      </c>
      <c r="B19" s="19" t="inlineStr">
        <is>
          <t>特製ハンバーグ弁当</t>
        </is>
      </c>
      <c r="C19" s="19" t="inlineStr">
        <is>
          <t>新弁当</t>
        </is>
      </c>
      <c r="D19" s="20" t="n">
        <v>1500</v>
      </c>
      <c r="E19" s="19" t="inlineStr">
        <is>
          <t>120gバーグ</t>
        </is>
      </c>
      <c r="F19" s="19" t="n">
        <v>1</v>
      </c>
      <c r="G19" s="19" t="n"/>
      <c r="H19" s="19" t="n"/>
      <c r="I19" s="19" t="n">
        <v>1</v>
      </c>
      <c r="J19" s="19" t="n">
        <v>1</v>
      </c>
      <c r="K19" s="19" t="n">
        <v>1</v>
      </c>
      <c r="L19" s="19" t="n">
        <v>1</v>
      </c>
      <c r="M19" s="19" t="n">
        <v>0</v>
      </c>
      <c r="N19" s="19" t="n">
        <v>0</v>
      </c>
      <c r="O19" s="19" t="n">
        <v>0</v>
      </c>
      <c r="P19" s="19" t="inlineStr">
        <is>
          <t>none</t>
        </is>
      </c>
      <c r="Q19" s="21" t="inlineStr">
        <is>
          <t>ハンバーグソース</t>
        </is>
      </c>
      <c r="R19" s="21" t="n">
        <v>35</v>
      </c>
      <c r="S19" s="21" t="n"/>
      <c r="T19" s="21" t="n"/>
      <c r="U19" s="20">
        <f>IFERROR(VLOOKUP(E19,食材マスタ!$A$2:$F$17,6,FALSE)*F19,0)+IFERROR(VLOOKUP(G19,食材マスタ!$A$2:$F$17,6,FALSE)*H19,0)</f>
        <v/>
      </c>
      <c r="V19" s="20">
        <f>IFERROR(I19*IF($C19="黒弁当",IFERROR(VLOOKUP("ピクルス",サイドマスタ!$A:$F,3,FALSE),0),IFERROR(VLOOKUP("ピクルス",サイドマスタ!$A:$F,4,FALSE),0))*IFERROR(VLOOKUP("ピクルス",サイドマスタ!$A:$F,5,FALSE),0),0)+IFERROR(J19*IF($C19="黒弁当",IFERROR(VLOOKUP("ポテトサラダ",サイドマスタ!$A:$F,3,FALSE),0),IFERROR(VLOOKUP("ポテトサラダ",サイドマスタ!$A:$F,4,FALSE),0))*IFERROR(VLOOKUP("ポテトサラダ",サイドマスタ!$A:$F,5,FALSE),0),0)+IFERROR(K19*IF($C19="黒弁当",IFERROR(VLOOKUP("卵",サイドマスタ!$A:$F,3,FALSE),0),IFERROR(VLOOKUP("卵",サイドマスタ!$A:$F,4,FALSE),0))*IFERROR(VLOOKUP("卵",サイドマスタ!$A:$F,5,FALSE),0),0)+IFERROR(L19*IF($C19="黒弁当",IFERROR(VLOOKUP("ご飯",サイドマスタ!$A:$F,3,FALSE),0),IFERROR(VLOOKUP("ご飯",サイドマスタ!$A:$F,4,FALSE),0))*IFERROR(VLOOKUP("ご飯",サイドマスタ!$A:$F,5,FALSE),0),0)+IFERROR(M19*IF($C19="黒弁当",IFERROR(VLOOKUP("かぼちゃ",サイドマスタ!$A:$F,3,FALSE),0),IFERROR(VLOOKUP("かぼちゃ",サイドマスタ!$A:$F,4,FALSE),0))*IFERROR(VLOOKUP("かぼちゃ",サイドマスタ!$A:$F,5,FALSE),0),0)+IFERROR(N19*IF($C19="黒弁当",IFERROR(VLOOKUP("小エビ",サイドマスタ!$A:$F,3,FALSE),0),IFERROR(VLOOKUP("小エビ",サイドマスタ!$A:$F,4,FALSE),0))*IFERROR(VLOOKUP("小エビ",サイドマスタ!$A:$F,5,FALSE),0),0)+IFERROR(O19*IF($C19="黒弁当",IFERROR(VLOOKUP("有頭エビ",サイドマスタ!$A:$F,3,FALSE),0),IFERROR(VLOOKUP("有頭エビ",サイドマスタ!$A:$F,4,FALSE),0))*IFERROR(VLOOKUP("有頭エビ",サイドマスタ!$A:$F,5,FALSE),0),0)+IFERROR(IF($C19="黒弁当",IFERROR(VLOOKUP("サラダベース",サイドマスタ!$A:$F,3,FALSE),0),IFERROR(VLOOKUP("サラダベース",サイドマスタ!$A:$F,4,FALSE),0))*IFERROR(VLOOKUP("サラダベース",サイドマスタ!$A:$F,5,FALSE),0),0)+IFERROR(IF($C19="黒弁当",IFERROR(VLOOKUP("ミニトマト",サイドマスタ!$A:$F,3,FALSE),0),IFERROR(VLOOKUP("ミニトマト",サイドマスタ!$A:$F,4,FALSE),0))*IFERROR(VLOOKUP("ミニトマト",サイドマスタ!$A:$F,5,FALSE),0),0)+IFERROR(IF($C19="黒弁当",IFERROR(VLOOKUP("蒸し野菜",サイドマスタ!$A:$F,3,FALSE),0),IFERROR(VLOOKUP("蒸し野菜",サイドマスタ!$A:$F,4,FALSE),0))*IFERROR(VLOOKUP("蒸し野菜",サイドマスタ!$A:$F,5,FALSE),0),0)+IFERROR(IF($C19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19" s="20">
        <f>IF(C19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19" s="20">
        <f>IFERROR(VLOOKUP(Q19,ソース定義マスタ!$A$2:$E$12,5,FALSE)*R19,0)+IFERROR(VLOOKUP(S19,ソース定義マスタ!$A$2:$E$12,5,FALSE)*T19,0)</f>
        <v/>
      </c>
      <c r="Y19" s="20">
        <f>IFERROR(VLOOKUP(P19,飲料マスタ!$A$2:$D$5,4,FALSE),0)</f>
        <v/>
      </c>
      <c r="Z19" s="22">
        <f>U19+V19+W19+X19+Y19</f>
        <v/>
      </c>
      <c r="AA19" s="20">
        <f>D19/1.08</f>
        <v/>
      </c>
      <c r="AB19" s="23">
        <f>IFERROR(Z19/AA19,0)</f>
        <v/>
      </c>
      <c r="AC19" s="23">
        <f>IFERROR(1-AB19,0)</f>
        <v/>
      </c>
    </row>
    <row r="20">
      <c r="A20" s="19" t="n">
        <v>19</v>
      </c>
      <c r="B20" s="19" t="inlineStr">
        <is>
          <t>愛知県産真鯛の白ワイン蒸し弁当</t>
        </is>
      </c>
      <c r="C20" s="19" t="inlineStr">
        <is>
          <t>新弁当</t>
        </is>
      </c>
      <c r="D20" s="20" t="n">
        <v>1900</v>
      </c>
      <c r="E20" s="19" t="inlineStr">
        <is>
          <t>鯛</t>
        </is>
      </c>
      <c r="F20" s="19" t="n">
        <v>1</v>
      </c>
      <c r="G20" s="19" t="n"/>
      <c r="H20" s="19" t="n"/>
      <c r="I20" s="19" t="n">
        <v>1</v>
      </c>
      <c r="J20" s="19" t="n">
        <v>1</v>
      </c>
      <c r="K20" s="19" t="n">
        <v>1</v>
      </c>
      <c r="L20" s="19" t="n">
        <v>1</v>
      </c>
      <c r="M20" s="19" t="n">
        <v>0</v>
      </c>
      <c r="N20" s="19" t="n">
        <v>0</v>
      </c>
      <c r="O20" s="19" t="n">
        <v>1</v>
      </c>
      <c r="P20" s="19" t="inlineStr">
        <is>
          <t>none</t>
        </is>
      </c>
      <c r="Q20" s="21" t="inlineStr">
        <is>
          <t>ブールブランソース</t>
        </is>
      </c>
      <c r="R20" s="21" t="n">
        <v>30</v>
      </c>
      <c r="S20" s="21" t="n"/>
      <c r="T20" s="21" t="n"/>
      <c r="U20" s="20">
        <f>IFERROR(VLOOKUP(E20,食材マスタ!$A$2:$F$17,6,FALSE)*F20,0)+IFERROR(VLOOKUP(G20,食材マスタ!$A$2:$F$17,6,FALSE)*H20,0)</f>
        <v/>
      </c>
      <c r="V20" s="20">
        <f>IFERROR(I20*IF($C20="黒弁当",IFERROR(VLOOKUP("ピクルス",サイドマスタ!$A:$F,3,FALSE),0),IFERROR(VLOOKUP("ピクルス",サイドマスタ!$A:$F,4,FALSE),0))*IFERROR(VLOOKUP("ピクルス",サイドマスタ!$A:$F,5,FALSE),0),0)+IFERROR(J20*IF($C20="黒弁当",IFERROR(VLOOKUP("ポテトサラダ",サイドマスタ!$A:$F,3,FALSE),0),IFERROR(VLOOKUP("ポテトサラダ",サイドマスタ!$A:$F,4,FALSE),0))*IFERROR(VLOOKUP("ポテトサラダ",サイドマスタ!$A:$F,5,FALSE),0),0)+IFERROR(K20*IF($C20="黒弁当",IFERROR(VLOOKUP("卵",サイドマスタ!$A:$F,3,FALSE),0),IFERROR(VLOOKUP("卵",サイドマスタ!$A:$F,4,FALSE),0))*IFERROR(VLOOKUP("卵",サイドマスタ!$A:$F,5,FALSE),0),0)+IFERROR(L20*IF($C20="黒弁当",IFERROR(VLOOKUP("ご飯",サイドマスタ!$A:$F,3,FALSE),0),IFERROR(VLOOKUP("ご飯",サイドマスタ!$A:$F,4,FALSE),0))*IFERROR(VLOOKUP("ご飯",サイドマスタ!$A:$F,5,FALSE),0),0)+IFERROR(M20*IF($C20="黒弁当",IFERROR(VLOOKUP("かぼちゃ",サイドマスタ!$A:$F,3,FALSE),0),IFERROR(VLOOKUP("かぼちゃ",サイドマスタ!$A:$F,4,FALSE),0))*IFERROR(VLOOKUP("かぼちゃ",サイドマスタ!$A:$F,5,FALSE),0),0)+IFERROR(N20*IF($C20="黒弁当",IFERROR(VLOOKUP("小エビ",サイドマスタ!$A:$F,3,FALSE),0),IFERROR(VLOOKUP("小エビ",サイドマスタ!$A:$F,4,FALSE),0))*IFERROR(VLOOKUP("小エビ",サイドマスタ!$A:$F,5,FALSE),0),0)+IFERROR(O20*IF($C20="黒弁当",IFERROR(VLOOKUP("有頭エビ",サイドマスタ!$A:$F,3,FALSE),0),IFERROR(VLOOKUP("有頭エビ",サイドマスタ!$A:$F,4,FALSE),0))*IFERROR(VLOOKUP("有頭エビ",サイドマスタ!$A:$F,5,FALSE),0),0)+IFERROR(IF($C20="黒弁当",IFERROR(VLOOKUP("サラダベース",サイドマスタ!$A:$F,3,FALSE),0),IFERROR(VLOOKUP("サラダベース",サイドマスタ!$A:$F,4,FALSE),0))*IFERROR(VLOOKUP("サラダベース",サイドマスタ!$A:$F,5,FALSE),0),0)+IFERROR(IF($C20="黒弁当",IFERROR(VLOOKUP("ミニトマト",サイドマスタ!$A:$F,3,FALSE),0),IFERROR(VLOOKUP("ミニトマト",サイドマスタ!$A:$F,4,FALSE),0))*IFERROR(VLOOKUP("ミニトマト",サイドマスタ!$A:$F,5,FALSE),0),0)+IFERROR(IF($C20="黒弁当",IFERROR(VLOOKUP("蒸し野菜",サイドマスタ!$A:$F,3,FALSE),0),IFERROR(VLOOKUP("蒸し野菜",サイドマスタ!$A:$F,4,FALSE),0))*IFERROR(VLOOKUP("蒸し野菜",サイドマスタ!$A:$F,5,FALSE),0),0)+IFERROR(IF($C20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20" s="20">
        <f>IF(C20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20" s="20">
        <f>IFERROR(VLOOKUP(Q20,ソース定義マスタ!$A$2:$E$12,5,FALSE)*R20,0)+IFERROR(VLOOKUP(S20,ソース定義マスタ!$A$2:$E$12,5,FALSE)*T20,0)</f>
        <v/>
      </c>
      <c r="Y20" s="20">
        <f>IFERROR(VLOOKUP(P20,飲料マスタ!$A$2:$D$5,4,FALSE),0)</f>
        <v/>
      </c>
      <c r="Z20" s="22">
        <f>U20+V20+W20+X20+Y20</f>
        <v/>
      </c>
      <c r="AA20" s="20">
        <f>D20/1.08</f>
        <v/>
      </c>
      <c r="AB20" s="23">
        <f>IFERROR(Z20/AA20,0)</f>
        <v/>
      </c>
      <c r="AC20" s="23">
        <f>IFERROR(1-AB20,0)</f>
        <v/>
      </c>
    </row>
    <row r="21">
      <c r="A21" s="19" t="n">
        <v>20</v>
      </c>
      <c r="B21" s="19" t="inlineStr">
        <is>
          <t>アトランティックサーモンのロースト弁当</t>
        </is>
      </c>
      <c r="C21" s="19" t="inlineStr">
        <is>
          <t>新弁当</t>
        </is>
      </c>
      <c r="D21" s="20" t="n">
        <v>1800</v>
      </c>
      <c r="E21" s="19" t="inlineStr">
        <is>
          <t>サーモン</t>
        </is>
      </c>
      <c r="F21" s="19" t="n">
        <v>1</v>
      </c>
      <c r="G21" s="19" t="n"/>
      <c r="H21" s="19" t="n"/>
      <c r="I21" s="19" t="n">
        <v>1</v>
      </c>
      <c r="J21" s="19" t="n">
        <v>1</v>
      </c>
      <c r="K21" s="19" t="n">
        <v>1</v>
      </c>
      <c r="L21" s="19" t="n">
        <v>1</v>
      </c>
      <c r="M21" s="19" t="n">
        <v>0</v>
      </c>
      <c r="N21" s="19" t="n">
        <v>0</v>
      </c>
      <c r="O21" s="19" t="n">
        <v>1</v>
      </c>
      <c r="P21" s="19" t="inlineStr">
        <is>
          <t>none</t>
        </is>
      </c>
      <c r="Q21" s="21" t="inlineStr">
        <is>
          <t>ブールブランソース</t>
        </is>
      </c>
      <c r="R21" s="21" t="n">
        <v>30</v>
      </c>
      <c r="S21" s="21" t="n"/>
      <c r="T21" s="21" t="n"/>
      <c r="U21" s="20">
        <f>IFERROR(VLOOKUP(E21,食材マスタ!$A$2:$F$17,6,FALSE)*F21,0)+IFERROR(VLOOKUP(G21,食材マスタ!$A$2:$F$17,6,FALSE)*H21,0)</f>
        <v/>
      </c>
      <c r="V21" s="20">
        <f>IFERROR(I21*IF($C21="黒弁当",IFERROR(VLOOKUP("ピクルス",サイドマスタ!$A:$F,3,FALSE),0),IFERROR(VLOOKUP("ピクルス",サイドマスタ!$A:$F,4,FALSE),0))*IFERROR(VLOOKUP("ピクルス",サイドマスタ!$A:$F,5,FALSE),0),0)+IFERROR(J21*IF($C21="黒弁当",IFERROR(VLOOKUP("ポテトサラダ",サイドマスタ!$A:$F,3,FALSE),0),IFERROR(VLOOKUP("ポテトサラダ",サイドマスタ!$A:$F,4,FALSE),0))*IFERROR(VLOOKUP("ポテトサラダ",サイドマスタ!$A:$F,5,FALSE),0),0)+IFERROR(K21*IF($C21="黒弁当",IFERROR(VLOOKUP("卵",サイドマスタ!$A:$F,3,FALSE),0),IFERROR(VLOOKUP("卵",サイドマスタ!$A:$F,4,FALSE),0))*IFERROR(VLOOKUP("卵",サイドマスタ!$A:$F,5,FALSE),0),0)+IFERROR(L21*IF($C21="黒弁当",IFERROR(VLOOKUP("ご飯",サイドマスタ!$A:$F,3,FALSE),0),IFERROR(VLOOKUP("ご飯",サイドマスタ!$A:$F,4,FALSE),0))*IFERROR(VLOOKUP("ご飯",サイドマスタ!$A:$F,5,FALSE),0),0)+IFERROR(M21*IF($C21="黒弁当",IFERROR(VLOOKUP("かぼちゃ",サイドマスタ!$A:$F,3,FALSE),0),IFERROR(VLOOKUP("かぼちゃ",サイドマスタ!$A:$F,4,FALSE),0))*IFERROR(VLOOKUP("かぼちゃ",サイドマスタ!$A:$F,5,FALSE),0),0)+IFERROR(N21*IF($C21="黒弁当",IFERROR(VLOOKUP("小エビ",サイドマスタ!$A:$F,3,FALSE),0),IFERROR(VLOOKUP("小エビ",サイドマスタ!$A:$F,4,FALSE),0))*IFERROR(VLOOKUP("小エビ",サイドマスタ!$A:$F,5,FALSE),0),0)+IFERROR(O21*IF($C21="黒弁当",IFERROR(VLOOKUP("有頭エビ",サイドマスタ!$A:$F,3,FALSE),0),IFERROR(VLOOKUP("有頭エビ",サイドマスタ!$A:$F,4,FALSE),0))*IFERROR(VLOOKUP("有頭エビ",サイドマスタ!$A:$F,5,FALSE),0),0)+IFERROR(IF($C21="黒弁当",IFERROR(VLOOKUP("サラダベース",サイドマスタ!$A:$F,3,FALSE),0),IFERROR(VLOOKUP("サラダベース",サイドマスタ!$A:$F,4,FALSE),0))*IFERROR(VLOOKUP("サラダベース",サイドマスタ!$A:$F,5,FALSE),0),0)+IFERROR(IF($C21="黒弁当",IFERROR(VLOOKUP("ミニトマト",サイドマスタ!$A:$F,3,FALSE),0),IFERROR(VLOOKUP("ミニトマト",サイドマスタ!$A:$F,4,FALSE),0))*IFERROR(VLOOKUP("ミニトマト",サイドマスタ!$A:$F,5,FALSE),0),0)+IFERROR(IF($C21="黒弁当",IFERROR(VLOOKUP("蒸し野菜",サイドマスタ!$A:$F,3,FALSE),0),IFERROR(VLOOKUP("蒸し野菜",サイドマスタ!$A:$F,4,FALSE),0))*IFERROR(VLOOKUP("蒸し野菜",サイドマスタ!$A:$F,5,FALSE),0),0)+IFERROR(IF($C21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21" s="20">
        <f>IF(C21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21" s="20">
        <f>IFERROR(VLOOKUP(Q21,ソース定義マスタ!$A$2:$E$12,5,FALSE)*R21,0)+IFERROR(VLOOKUP(S21,ソース定義マスタ!$A$2:$E$12,5,FALSE)*T21,0)</f>
        <v/>
      </c>
      <c r="Y21" s="20">
        <f>IFERROR(VLOOKUP(P21,飲料マスタ!$A$2:$D$5,4,FALSE),0)</f>
        <v/>
      </c>
      <c r="Z21" s="22">
        <f>U21+V21+W21+X21+Y21</f>
        <v/>
      </c>
      <c r="AA21" s="20">
        <f>D21/1.08</f>
        <v/>
      </c>
      <c r="AB21" s="23">
        <f>IFERROR(Z21/AA21,0)</f>
        <v/>
      </c>
      <c r="AC21" s="23">
        <f>IFERROR(1-AB21,0)</f>
        <v/>
      </c>
    </row>
    <row r="22">
      <c r="A22" s="19" t="n">
        <v>21</v>
      </c>
      <c r="B22" s="19" t="inlineStr">
        <is>
          <t>特選豚肉と特製ハンバーグの弁当</t>
        </is>
      </c>
      <c r="C22" s="19" t="inlineStr">
        <is>
          <t>新弁当</t>
        </is>
      </c>
      <c r="D22" s="20" t="n">
        <v>1620</v>
      </c>
      <c r="E22" s="19" t="inlineStr">
        <is>
          <t>豚ヒレ</t>
        </is>
      </c>
      <c r="F22" s="19" t="n">
        <v>52</v>
      </c>
      <c r="G22" s="19" t="inlineStr">
        <is>
          <t>120gバーグ</t>
        </is>
      </c>
      <c r="H22" s="19" t="n">
        <v>0.5</v>
      </c>
      <c r="I22" s="19" t="n">
        <v>1</v>
      </c>
      <c r="J22" s="19" t="n">
        <v>1</v>
      </c>
      <c r="K22" s="19" t="n">
        <v>1</v>
      </c>
      <c r="L22" s="19" t="n">
        <v>1</v>
      </c>
      <c r="M22" s="19" t="n">
        <v>0</v>
      </c>
      <c r="N22" s="19" t="n">
        <v>0</v>
      </c>
      <c r="O22" s="19" t="n">
        <v>0</v>
      </c>
      <c r="P22" s="19" t="inlineStr">
        <is>
          <t>none</t>
        </is>
      </c>
      <c r="Q22" s="21" t="inlineStr">
        <is>
          <t>ポリネシアンソース</t>
        </is>
      </c>
      <c r="R22" s="21" t="n">
        <v>20</v>
      </c>
      <c r="S22" s="21" t="inlineStr">
        <is>
          <t>ハンバーグソース</t>
        </is>
      </c>
      <c r="T22" s="21" t="n">
        <v>25</v>
      </c>
      <c r="U22" s="20">
        <f>IFERROR(VLOOKUP(E22,食材マスタ!$A$2:$F$17,6,FALSE)*F22,0)+IFERROR(VLOOKUP(G22,食材マスタ!$A$2:$F$17,6,FALSE)*H22,0)</f>
        <v/>
      </c>
      <c r="V22" s="20">
        <f>IFERROR(I22*IF($C22="黒弁当",IFERROR(VLOOKUP("ピクルス",サイドマスタ!$A:$F,3,FALSE),0),IFERROR(VLOOKUP("ピクルス",サイドマスタ!$A:$F,4,FALSE),0))*IFERROR(VLOOKUP("ピクルス",サイドマスタ!$A:$F,5,FALSE),0),0)+IFERROR(J22*IF($C22="黒弁当",IFERROR(VLOOKUP("ポテトサラダ",サイドマスタ!$A:$F,3,FALSE),0),IFERROR(VLOOKUP("ポテトサラダ",サイドマスタ!$A:$F,4,FALSE),0))*IFERROR(VLOOKUP("ポテトサラダ",サイドマスタ!$A:$F,5,FALSE),0),0)+IFERROR(K22*IF($C22="黒弁当",IFERROR(VLOOKUP("卵",サイドマスタ!$A:$F,3,FALSE),0),IFERROR(VLOOKUP("卵",サイドマスタ!$A:$F,4,FALSE),0))*IFERROR(VLOOKUP("卵",サイドマスタ!$A:$F,5,FALSE),0),0)+IFERROR(L22*IF($C22="黒弁当",IFERROR(VLOOKUP("ご飯",サイドマスタ!$A:$F,3,FALSE),0),IFERROR(VLOOKUP("ご飯",サイドマスタ!$A:$F,4,FALSE),0))*IFERROR(VLOOKUP("ご飯",サイドマスタ!$A:$F,5,FALSE),0),0)+IFERROR(M22*IF($C22="黒弁当",IFERROR(VLOOKUP("かぼちゃ",サイドマスタ!$A:$F,3,FALSE),0),IFERROR(VLOOKUP("かぼちゃ",サイドマスタ!$A:$F,4,FALSE),0))*IFERROR(VLOOKUP("かぼちゃ",サイドマスタ!$A:$F,5,FALSE),0),0)+IFERROR(N22*IF($C22="黒弁当",IFERROR(VLOOKUP("小エビ",サイドマスタ!$A:$F,3,FALSE),0),IFERROR(VLOOKUP("小エビ",サイドマスタ!$A:$F,4,FALSE),0))*IFERROR(VLOOKUP("小エビ",サイドマスタ!$A:$F,5,FALSE),0),0)+IFERROR(O22*IF($C22="黒弁当",IFERROR(VLOOKUP("有頭エビ",サイドマスタ!$A:$F,3,FALSE),0),IFERROR(VLOOKUP("有頭エビ",サイドマスタ!$A:$F,4,FALSE),0))*IFERROR(VLOOKUP("有頭エビ",サイドマスタ!$A:$F,5,FALSE),0),0)+IFERROR(IF($C22="黒弁当",IFERROR(VLOOKUP("サラダベース",サイドマスタ!$A:$F,3,FALSE),0),IFERROR(VLOOKUP("サラダベース",サイドマスタ!$A:$F,4,FALSE),0))*IFERROR(VLOOKUP("サラダベース",サイドマスタ!$A:$F,5,FALSE),0),0)+IFERROR(IF($C22="黒弁当",IFERROR(VLOOKUP("ミニトマト",サイドマスタ!$A:$F,3,FALSE),0),IFERROR(VLOOKUP("ミニトマト",サイドマスタ!$A:$F,4,FALSE),0))*IFERROR(VLOOKUP("ミニトマト",サイドマスタ!$A:$F,5,FALSE),0),0)+IFERROR(IF($C22="黒弁当",IFERROR(VLOOKUP("蒸し野菜",サイドマスタ!$A:$F,3,FALSE),0),IFERROR(VLOOKUP("蒸し野菜",サイドマスタ!$A:$F,4,FALSE),0))*IFERROR(VLOOKUP("蒸し野菜",サイドマスタ!$A:$F,5,FALSE),0),0)+IFERROR(IF($C22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22" s="20">
        <f>IF(C22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22" s="20">
        <f>IFERROR(VLOOKUP(Q22,ソース定義マスタ!$A$2:$E$12,5,FALSE)*R22,0)+IFERROR(VLOOKUP(S22,ソース定義マスタ!$A$2:$E$12,5,FALSE)*T22,0)</f>
        <v/>
      </c>
      <c r="Y22" s="20">
        <f>IFERROR(VLOOKUP(P22,飲料マスタ!$A$2:$D$5,4,FALSE),0)</f>
        <v/>
      </c>
      <c r="Z22" s="22">
        <f>U22+V22+W22+X22+Y22</f>
        <v/>
      </c>
      <c r="AA22" s="20">
        <f>D22/1.08</f>
        <v/>
      </c>
      <c r="AB22" s="23">
        <f>IFERROR(Z22/AA22,0)</f>
        <v/>
      </c>
      <c r="AC22" s="23">
        <f>IFERROR(1-AB22,0)</f>
        <v/>
      </c>
    </row>
    <row r="23">
      <c r="A23" s="19" t="n">
        <v>22</v>
      </c>
      <c r="B23" s="19" t="inlineStr">
        <is>
          <t>特選豚ヒレ肉の弁当</t>
        </is>
      </c>
      <c r="C23" s="19" t="inlineStr">
        <is>
          <t>新弁当</t>
        </is>
      </c>
      <c r="D23" s="20" t="n">
        <v>1500</v>
      </c>
      <c r="E23" s="19" t="inlineStr">
        <is>
          <t>豚ヒレ</t>
        </is>
      </c>
      <c r="F23" s="19" t="n">
        <v>105</v>
      </c>
      <c r="G23" s="19" t="n"/>
      <c r="H23" s="19" t="n"/>
      <c r="I23" s="19" t="n">
        <v>1</v>
      </c>
      <c r="J23" s="19" t="n">
        <v>1</v>
      </c>
      <c r="K23" s="19" t="n">
        <v>1</v>
      </c>
      <c r="L23" s="19" t="n">
        <v>1</v>
      </c>
      <c r="M23" s="19" t="n">
        <v>0</v>
      </c>
      <c r="N23" s="19" t="n">
        <v>0</v>
      </c>
      <c r="O23" s="19" t="n">
        <v>0</v>
      </c>
      <c r="P23" s="19" t="inlineStr">
        <is>
          <t>none</t>
        </is>
      </c>
      <c r="Q23" s="21" t="inlineStr">
        <is>
          <t>ポリネシアンソース</t>
        </is>
      </c>
      <c r="R23" s="21" t="n">
        <v>30</v>
      </c>
      <c r="S23" s="21" t="n"/>
      <c r="T23" s="21" t="n"/>
      <c r="U23" s="20">
        <f>IFERROR(VLOOKUP(E23,食材マスタ!$A$2:$F$17,6,FALSE)*F23,0)+IFERROR(VLOOKUP(G23,食材マスタ!$A$2:$F$17,6,FALSE)*H23,0)</f>
        <v/>
      </c>
      <c r="V23" s="20">
        <f>IFERROR(I23*IF($C23="黒弁当",IFERROR(VLOOKUP("ピクルス",サイドマスタ!$A:$F,3,FALSE),0),IFERROR(VLOOKUP("ピクルス",サイドマスタ!$A:$F,4,FALSE),0))*IFERROR(VLOOKUP("ピクルス",サイドマスタ!$A:$F,5,FALSE),0),0)+IFERROR(J23*IF($C23="黒弁当",IFERROR(VLOOKUP("ポテトサラダ",サイドマスタ!$A:$F,3,FALSE),0),IFERROR(VLOOKUP("ポテトサラダ",サイドマスタ!$A:$F,4,FALSE),0))*IFERROR(VLOOKUP("ポテトサラダ",サイドマスタ!$A:$F,5,FALSE),0),0)+IFERROR(K23*IF($C23="黒弁当",IFERROR(VLOOKUP("卵",サイドマスタ!$A:$F,3,FALSE),0),IFERROR(VLOOKUP("卵",サイドマスタ!$A:$F,4,FALSE),0))*IFERROR(VLOOKUP("卵",サイドマスタ!$A:$F,5,FALSE),0),0)+IFERROR(L23*IF($C23="黒弁当",IFERROR(VLOOKUP("ご飯",サイドマスタ!$A:$F,3,FALSE),0),IFERROR(VLOOKUP("ご飯",サイドマスタ!$A:$F,4,FALSE),0))*IFERROR(VLOOKUP("ご飯",サイドマスタ!$A:$F,5,FALSE),0),0)+IFERROR(M23*IF($C23="黒弁当",IFERROR(VLOOKUP("かぼちゃ",サイドマスタ!$A:$F,3,FALSE),0),IFERROR(VLOOKUP("かぼちゃ",サイドマスタ!$A:$F,4,FALSE),0))*IFERROR(VLOOKUP("かぼちゃ",サイドマスタ!$A:$F,5,FALSE),0),0)+IFERROR(N23*IF($C23="黒弁当",IFERROR(VLOOKUP("小エビ",サイドマスタ!$A:$F,3,FALSE),0),IFERROR(VLOOKUP("小エビ",サイドマスタ!$A:$F,4,FALSE),0))*IFERROR(VLOOKUP("小エビ",サイドマスタ!$A:$F,5,FALSE),0),0)+IFERROR(O23*IF($C23="黒弁当",IFERROR(VLOOKUP("有頭エビ",サイドマスタ!$A:$F,3,FALSE),0),IFERROR(VLOOKUP("有頭エビ",サイドマスタ!$A:$F,4,FALSE),0))*IFERROR(VLOOKUP("有頭エビ",サイドマスタ!$A:$F,5,FALSE),0),0)+IFERROR(IF($C23="黒弁当",IFERROR(VLOOKUP("サラダベース",サイドマスタ!$A:$F,3,FALSE),0),IFERROR(VLOOKUP("サラダベース",サイドマスタ!$A:$F,4,FALSE),0))*IFERROR(VLOOKUP("サラダベース",サイドマスタ!$A:$F,5,FALSE),0),0)+IFERROR(IF($C23="黒弁当",IFERROR(VLOOKUP("ミニトマト",サイドマスタ!$A:$F,3,FALSE),0),IFERROR(VLOOKUP("ミニトマト",サイドマスタ!$A:$F,4,FALSE),0))*IFERROR(VLOOKUP("ミニトマト",サイドマスタ!$A:$F,5,FALSE),0),0)+IFERROR(IF($C23="黒弁当",IFERROR(VLOOKUP("蒸し野菜",サイドマスタ!$A:$F,3,FALSE),0),IFERROR(VLOOKUP("蒸し野菜",サイドマスタ!$A:$F,4,FALSE),0))*IFERROR(VLOOKUP("蒸し野菜",サイドマスタ!$A:$F,5,FALSE),0),0)+IFERROR(IF($C23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23" s="20">
        <f>IF(C23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23" s="20">
        <f>IFERROR(VLOOKUP(Q23,ソース定義マスタ!$A$2:$E$12,5,FALSE)*R23,0)+IFERROR(VLOOKUP(S23,ソース定義マスタ!$A$2:$E$12,5,FALSE)*T23,0)</f>
        <v/>
      </c>
      <c r="Y23" s="20">
        <f>IFERROR(VLOOKUP(P23,飲料マスタ!$A$2:$D$5,4,FALSE),0)</f>
        <v/>
      </c>
      <c r="Z23" s="22">
        <f>U23+V23+W23+X23+Y23</f>
        <v/>
      </c>
      <c r="AA23" s="20">
        <f>D23/1.08</f>
        <v/>
      </c>
      <c r="AB23" s="23">
        <f>IFERROR(Z23/AA23,0)</f>
        <v/>
      </c>
      <c r="AC23" s="23">
        <f>IFERROR(1-AB23,0)</f>
        <v/>
      </c>
    </row>
    <row r="24">
      <c r="A24" s="19" t="n">
        <v>23</v>
      </c>
      <c r="B24" s="19" t="inlineStr">
        <is>
          <t>特選豚ロースの弁当</t>
        </is>
      </c>
      <c r="C24" s="19" t="inlineStr">
        <is>
          <t>新弁当</t>
        </is>
      </c>
      <c r="D24" s="20" t="n">
        <v>1500</v>
      </c>
      <c r="E24" s="19" t="inlineStr">
        <is>
          <t>豚ロース</t>
        </is>
      </c>
      <c r="F24" s="19" t="n">
        <v>110</v>
      </c>
      <c r="G24" s="19" t="n"/>
      <c r="H24" s="19" t="n"/>
      <c r="I24" s="19" t="n">
        <v>1</v>
      </c>
      <c r="J24" s="19" t="n">
        <v>1</v>
      </c>
      <c r="K24" s="19" t="n">
        <v>1</v>
      </c>
      <c r="L24" s="19" t="n">
        <v>1</v>
      </c>
      <c r="M24" s="19" t="n">
        <v>0</v>
      </c>
      <c r="N24" s="19" t="n">
        <v>0</v>
      </c>
      <c r="O24" s="19" t="n">
        <v>0</v>
      </c>
      <c r="P24" s="19" t="inlineStr">
        <is>
          <t>none</t>
        </is>
      </c>
      <c r="Q24" s="21" t="inlineStr">
        <is>
          <t>ソースジャンジャンブル</t>
        </is>
      </c>
      <c r="R24" s="21" t="n">
        <v>30</v>
      </c>
      <c r="S24" s="21" t="n"/>
      <c r="T24" s="21" t="n"/>
      <c r="U24" s="20">
        <f>IFERROR(VLOOKUP(E24,食材マスタ!$A$2:$F$17,6,FALSE)*F24,0)+IFERROR(VLOOKUP(G24,食材マスタ!$A$2:$F$17,6,FALSE)*H24,0)</f>
        <v/>
      </c>
      <c r="V24" s="20">
        <f>IFERROR(I24*IF($C24="黒弁当",IFERROR(VLOOKUP("ピクルス",サイドマスタ!$A:$F,3,FALSE),0),IFERROR(VLOOKUP("ピクルス",サイドマスタ!$A:$F,4,FALSE),0))*IFERROR(VLOOKUP("ピクルス",サイドマスタ!$A:$F,5,FALSE),0),0)+IFERROR(J24*IF($C24="黒弁当",IFERROR(VLOOKUP("ポテトサラダ",サイドマスタ!$A:$F,3,FALSE),0),IFERROR(VLOOKUP("ポテトサラダ",サイドマスタ!$A:$F,4,FALSE),0))*IFERROR(VLOOKUP("ポテトサラダ",サイドマスタ!$A:$F,5,FALSE),0),0)+IFERROR(K24*IF($C24="黒弁当",IFERROR(VLOOKUP("卵",サイドマスタ!$A:$F,3,FALSE),0),IFERROR(VLOOKUP("卵",サイドマスタ!$A:$F,4,FALSE),0))*IFERROR(VLOOKUP("卵",サイドマスタ!$A:$F,5,FALSE),0),0)+IFERROR(L24*IF($C24="黒弁当",IFERROR(VLOOKUP("ご飯",サイドマスタ!$A:$F,3,FALSE),0),IFERROR(VLOOKUP("ご飯",サイドマスタ!$A:$F,4,FALSE),0))*IFERROR(VLOOKUP("ご飯",サイドマスタ!$A:$F,5,FALSE),0),0)+IFERROR(M24*IF($C24="黒弁当",IFERROR(VLOOKUP("かぼちゃ",サイドマスタ!$A:$F,3,FALSE),0),IFERROR(VLOOKUP("かぼちゃ",サイドマスタ!$A:$F,4,FALSE),0))*IFERROR(VLOOKUP("かぼちゃ",サイドマスタ!$A:$F,5,FALSE),0),0)+IFERROR(N24*IF($C24="黒弁当",IFERROR(VLOOKUP("小エビ",サイドマスタ!$A:$F,3,FALSE),0),IFERROR(VLOOKUP("小エビ",サイドマスタ!$A:$F,4,FALSE),0))*IFERROR(VLOOKUP("小エビ",サイドマスタ!$A:$F,5,FALSE),0),0)+IFERROR(O24*IF($C24="黒弁当",IFERROR(VLOOKUP("有頭エビ",サイドマスタ!$A:$F,3,FALSE),0),IFERROR(VLOOKUP("有頭エビ",サイドマスタ!$A:$F,4,FALSE),0))*IFERROR(VLOOKUP("有頭エビ",サイドマスタ!$A:$F,5,FALSE),0),0)+IFERROR(IF($C24="黒弁当",IFERROR(VLOOKUP("サラダベース",サイドマスタ!$A:$F,3,FALSE),0),IFERROR(VLOOKUP("サラダベース",サイドマスタ!$A:$F,4,FALSE),0))*IFERROR(VLOOKUP("サラダベース",サイドマスタ!$A:$F,5,FALSE),0),0)+IFERROR(IF($C24="黒弁当",IFERROR(VLOOKUP("ミニトマト",サイドマスタ!$A:$F,3,FALSE),0),IFERROR(VLOOKUP("ミニトマト",サイドマスタ!$A:$F,4,FALSE),0))*IFERROR(VLOOKUP("ミニトマト",サイドマスタ!$A:$F,5,FALSE),0),0)+IFERROR(IF($C24="黒弁当",IFERROR(VLOOKUP("蒸し野菜",サイドマスタ!$A:$F,3,FALSE),0),IFERROR(VLOOKUP("蒸し野菜",サイドマスタ!$A:$F,4,FALSE),0))*IFERROR(VLOOKUP("蒸し野菜",サイドマスタ!$A:$F,5,FALSE),0),0)+IFERROR(IF($C24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24" s="20">
        <f>IF(C24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24" s="20">
        <f>IFERROR(VLOOKUP(Q24,ソース定義マスタ!$A$2:$E$12,5,FALSE)*R24,0)+IFERROR(VLOOKUP(S24,ソース定義マスタ!$A$2:$E$12,5,FALSE)*T24,0)</f>
        <v/>
      </c>
      <c r="Y24" s="20">
        <f>IFERROR(VLOOKUP(P24,飲料マスタ!$A$2:$D$5,4,FALSE),0)</f>
        <v/>
      </c>
      <c r="Z24" s="22">
        <f>U24+V24+W24+X24+Y24</f>
        <v/>
      </c>
      <c r="AA24" s="20">
        <f>D24/1.08</f>
        <v/>
      </c>
      <c r="AB24" s="23">
        <f>IFERROR(Z24/AA24,0)</f>
        <v/>
      </c>
      <c r="AC24" s="23">
        <f>IFERROR(1-AB24,0)</f>
        <v/>
      </c>
    </row>
    <row r="25">
      <c r="A25" s="19" t="n">
        <v>24</v>
      </c>
      <c r="B25" s="19" t="inlineStr">
        <is>
          <t>カジキマグロと赤魚のソテー弁当</t>
        </is>
      </c>
      <c r="C25" s="19" t="inlineStr">
        <is>
          <t>新弁当</t>
        </is>
      </c>
      <c r="D25" s="20" t="n">
        <v>1500</v>
      </c>
      <c r="E25" s="19" t="inlineStr">
        <is>
          <t>カジキ</t>
        </is>
      </c>
      <c r="F25" s="19" t="n">
        <v>40</v>
      </c>
      <c r="G25" s="19" t="inlineStr">
        <is>
          <t>赤魚</t>
        </is>
      </c>
      <c r="H25" s="19" t="n">
        <v>40</v>
      </c>
      <c r="I25" s="19" t="n">
        <v>1</v>
      </c>
      <c r="J25" s="19" t="n">
        <v>1</v>
      </c>
      <c r="K25" s="19" t="n">
        <v>1</v>
      </c>
      <c r="L25" s="19" t="n">
        <v>1</v>
      </c>
      <c r="M25" s="19" t="n">
        <v>0</v>
      </c>
      <c r="N25" s="19" t="n">
        <v>0</v>
      </c>
      <c r="O25" s="19" t="n">
        <v>1</v>
      </c>
      <c r="P25" s="19" t="inlineStr">
        <is>
          <t>none</t>
        </is>
      </c>
      <c r="Q25" s="21" t="inlineStr">
        <is>
          <t>エバラおろしのたれ</t>
        </is>
      </c>
      <c r="R25" s="21" t="n">
        <v>30</v>
      </c>
      <c r="S25" s="21" t="n"/>
      <c r="T25" s="21" t="n"/>
      <c r="U25" s="20">
        <f>IFERROR(VLOOKUP(E25,食材マスタ!$A$2:$F$17,6,FALSE)*F25,0)+IFERROR(VLOOKUP(G25,食材マスタ!$A$2:$F$17,6,FALSE)*H25,0)</f>
        <v/>
      </c>
      <c r="V25" s="20">
        <f>IFERROR(I25*IF($C25="黒弁当",IFERROR(VLOOKUP("ピクルス",サイドマスタ!$A:$F,3,FALSE),0),IFERROR(VLOOKUP("ピクルス",サイドマスタ!$A:$F,4,FALSE),0))*IFERROR(VLOOKUP("ピクルス",サイドマスタ!$A:$F,5,FALSE),0),0)+IFERROR(J25*IF($C25="黒弁当",IFERROR(VLOOKUP("ポテトサラダ",サイドマスタ!$A:$F,3,FALSE),0),IFERROR(VLOOKUP("ポテトサラダ",サイドマスタ!$A:$F,4,FALSE),0))*IFERROR(VLOOKUP("ポテトサラダ",サイドマスタ!$A:$F,5,FALSE),0),0)+IFERROR(K25*IF($C25="黒弁当",IFERROR(VLOOKUP("卵",サイドマスタ!$A:$F,3,FALSE),0),IFERROR(VLOOKUP("卵",サイドマスタ!$A:$F,4,FALSE),0))*IFERROR(VLOOKUP("卵",サイドマスタ!$A:$F,5,FALSE),0),0)+IFERROR(L25*IF($C25="黒弁当",IFERROR(VLOOKUP("ご飯",サイドマスタ!$A:$F,3,FALSE),0),IFERROR(VLOOKUP("ご飯",サイドマスタ!$A:$F,4,FALSE),0))*IFERROR(VLOOKUP("ご飯",サイドマスタ!$A:$F,5,FALSE),0),0)+IFERROR(M25*IF($C25="黒弁当",IFERROR(VLOOKUP("かぼちゃ",サイドマスタ!$A:$F,3,FALSE),0),IFERROR(VLOOKUP("かぼちゃ",サイドマスタ!$A:$F,4,FALSE),0))*IFERROR(VLOOKUP("かぼちゃ",サイドマスタ!$A:$F,5,FALSE),0),0)+IFERROR(N25*IF($C25="黒弁当",IFERROR(VLOOKUP("小エビ",サイドマスタ!$A:$F,3,FALSE),0),IFERROR(VLOOKUP("小エビ",サイドマスタ!$A:$F,4,FALSE),0))*IFERROR(VLOOKUP("小エビ",サイドマスタ!$A:$F,5,FALSE),0),0)+IFERROR(O25*IF($C25="黒弁当",IFERROR(VLOOKUP("有頭エビ",サイドマスタ!$A:$F,3,FALSE),0),IFERROR(VLOOKUP("有頭エビ",サイドマスタ!$A:$F,4,FALSE),0))*IFERROR(VLOOKUP("有頭エビ",サイドマスタ!$A:$F,5,FALSE),0),0)+IFERROR(IF($C25="黒弁当",IFERROR(VLOOKUP("サラダベース",サイドマスタ!$A:$F,3,FALSE),0),IFERROR(VLOOKUP("サラダベース",サイドマスタ!$A:$F,4,FALSE),0))*IFERROR(VLOOKUP("サラダベース",サイドマスタ!$A:$F,5,FALSE),0),0)+IFERROR(IF($C25="黒弁当",IFERROR(VLOOKUP("ミニトマト",サイドマスタ!$A:$F,3,FALSE),0),IFERROR(VLOOKUP("ミニトマト",サイドマスタ!$A:$F,4,FALSE),0))*IFERROR(VLOOKUP("ミニトマト",サイドマスタ!$A:$F,5,FALSE),0),0)+IFERROR(IF($C25="黒弁当",IFERROR(VLOOKUP("蒸し野菜",サイドマスタ!$A:$F,3,FALSE),0),IFERROR(VLOOKUP("蒸し野菜",サイドマスタ!$A:$F,4,FALSE),0))*IFERROR(VLOOKUP("蒸し野菜",サイドマスタ!$A:$F,5,FALSE),0),0)+IFERROR(IF($C25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25" s="20">
        <f>IF(C25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25" s="20">
        <f>IFERROR(VLOOKUP(Q25,ソース定義マスタ!$A$2:$E$12,5,FALSE)*R25,0)+IFERROR(VLOOKUP(S25,ソース定義マスタ!$A$2:$E$12,5,FALSE)*T25,0)</f>
        <v/>
      </c>
      <c r="Y25" s="20">
        <f>IFERROR(VLOOKUP(P25,飲料マスタ!$A$2:$D$5,4,FALSE),0)</f>
        <v/>
      </c>
      <c r="Z25" s="22">
        <f>U25+V25+W25+X25+Y25</f>
        <v/>
      </c>
      <c r="AA25" s="20">
        <f>D25/1.08</f>
        <v/>
      </c>
      <c r="AB25" s="23">
        <f>IFERROR(Z25/AA25,0)</f>
        <v/>
      </c>
      <c r="AC25" s="23">
        <f>IFERROR(1-AB25,0)</f>
        <v/>
      </c>
    </row>
    <row r="26">
      <c r="A26" s="19" t="n">
        <v>25</v>
      </c>
      <c r="B26" s="19" t="inlineStr">
        <is>
          <t>赤城鶏のロースト弁当</t>
        </is>
      </c>
      <c r="C26" s="19" t="inlineStr">
        <is>
          <t>新弁当</t>
        </is>
      </c>
      <c r="D26" s="20" t="n">
        <v>1400</v>
      </c>
      <c r="E26" s="19" t="inlineStr">
        <is>
          <t>とりむね</t>
        </is>
      </c>
      <c r="F26" s="19" t="n">
        <v>120</v>
      </c>
      <c r="G26" s="19" t="n"/>
      <c r="H26" s="19" t="n"/>
      <c r="I26" s="19" t="n">
        <v>1</v>
      </c>
      <c r="J26" s="19" t="n">
        <v>1</v>
      </c>
      <c r="K26" s="19" t="n">
        <v>1</v>
      </c>
      <c r="L26" s="19" t="n">
        <v>1</v>
      </c>
      <c r="M26" s="19" t="n">
        <v>0</v>
      </c>
      <c r="N26" s="19" t="n">
        <v>0</v>
      </c>
      <c r="O26" s="19" t="n">
        <v>0</v>
      </c>
      <c r="P26" s="19" t="inlineStr">
        <is>
          <t>none</t>
        </is>
      </c>
      <c r="Q26" s="21" t="inlineStr">
        <is>
          <t>ポリネシアンソース</t>
        </is>
      </c>
      <c r="R26" s="21" t="n">
        <v>30</v>
      </c>
      <c r="S26" s="21" t="n"/>
      <c r="T26" s="21" t="n"/>
      <c r="U26" s="20">
        <f>IFERROR(VLOOKUP(E26,食材マスタ!$A$2:$F$17,6,FALSE)*F26,0)+IFERROR(VLOOKUP(G26,食材マスタ!$A$2:$F$17,6,FALSE)*H26,0)</f>
        <v/>
      </c>
      <c r="V26" s="20">
        <f>IFERROR(I26*IF($C26="黒弁当",IFERROR(VLOOKUP("ピクルス",サイドマスタ!$A:$F,3,FALSE),0),IFERROR(VLOOKUP("ピクルス",サイドマスタ!$A:$F,4,FALSE),0))*IFERROR(VLOOKUP("ピクルス",サイドマスタ!$A:$F,5,FALSE),0),0)+IFERROR(J26*IF($C26="黒弁当",IFERROR(VLOOKUP("ポテトサラダ",サイドマスタ!$A:$F,3,FALSE),0),IFERROR(VLOOKUP("ポテトサラダ",サイドマスタ!$A:$F,4,FALSE),0))*IFERROR(VLOOKUP("ポテトサラダ",サイドマスタ!$A:$F,5,FALSE),0),0)+IFERROR(K26*IF($C26="黒弁当",IFERROR(VLOOKUP("卵",サイドマスタ!$A:$F,3,FALSE),0),IFERROR(VLOOKUP("卵",サイドマスタ!$A:$F,4,FALSE),0))*IFERROR(VLOOKUP("卵",サイドマスタ!$A:$F,5,FALSE),0),0)+IFERROR(L26*IF($C26="黒弁当",IFERROR(VLOOKUP("ご飯",サイドマスタ!$A:$F,3,FALSE),0),IFERROR(VLOOKUP("ご飯",サイドマスタ!$A:$F,4,FALSE),0))*IFERROR(VLOOKUP("ご飯",サイドマスタ!$A:$F,5,FALSE),0),0)+IFERROR(M26*IF($C26="黒弁当",IFERROR(VLOOKUP("かぼちゃ",サイドマスタ!$A:$F,3,FALSE),0),IFERROR(VLOOKUP("かぼちゃ",サイドマスタ!$A:$F,4,FALSE),0))*IFERROR(VLOOKUP("かぼちゃ",サイドマスタ!$A:$F,5,FALSE),0),0)+IFERROR(N26*IF($C26="黒弁当",IFERROR(VLOOKUP("小エビ",サイドマスタ!$A:$F,3,FALSE),0),IFERROR(VLOOKUP("小エビ",サイドマスタ!$A:$F,4,FALSE),0))*IFERROR(VLOOKUP("小エビ",サイドマスタ!$A:$F,5,FALSE),0),0)+IFERROR(O26*IF($C26="黒弁当",IFERROR(VLOOKUP("有頭エビ",サイドマスタ!$A:$F,3,FALSE),0),IFERROR(VLOOKUP("有頭エビ",サイドマスタ!$A:$F,4,FALSE),0))*IFERROR(VLOOKUP("有頭エビ",サイドマスタ!$A:$F,5,FALSE),0),0)+IFERROR(IF($C26="黒弁当",IFERROR(VLOOKUP("サラダベース",サイドマスタ!$A:$F,3,FALSE),0),IFERROR(VLOOKUP("サラダベース",サイドマスタ!$A:$F,4,FALSE),0))*IFERROR(VLOOKUP("サラダベース",サイドマスタ!$A:$F,5,FALSE),0),0)+IFERROR(IF($C26="黒弁当",IFERROR(VLOOKUP("ミニトマト",サイドマスタ!$A:$F,3,FALSE),0),IFERROR(VLOOKUP("ミニトマト",サイドマスタ!$A:$F,4,FALSE),0))*IFERROR(VLOOKUP("ミニトマト",サイドマスタ!$A:$F,5,FALSE),0),0)+IFERROR(IF($C26="黒弁当",IFERROR(VLOOKUP("蒸し野菜",サイドマスタ!$A:$F,3,FALSE),0),IFERROR(VLOOKUP("蒸し野菜",サイドマスタ!$A:$F,4,FALSE),0))*IFERROR(VLOOKUP("蒸し野菜",サイドマスタ!$A:$F,5,FALSE),0),0)+IFERROR(IF($C26="黒弁当",IFERROR(VLOOKUP("ブロッコリー",サイドマスタ!$A:$F,3,FALSE),0),IFERROR(VLOOKUP("ブロッコリー",サイドマスタ!$A:$F,4,FALSE),0))*IFERROR(VLOOKUP("ブロッコリー",サイドマスタ!$A:$F,5,FALSE),0),0)</f>
        <v/>
      </c>
      <c r="W26" s="20">
        <f>IF(C26="黒弁当",IFERROR(VLOOKUP("容器（黒）",資材マスタ!$A$2:$C$10,3,FALSE),0)+IFERROR(VLOOKUP("蓋（黒）",資材マスタ!$A$2:$C$10,3,FALSE),0),IFERROR(VLOOKUP("容器（新）",資材マスタ!$A$2:$C$10,3,FALSE),0)+IFERROR(VLOOKUP("蓋（新）",資材マスタ!$A$2:$C$10,3,FALSE),0))+IFERROR(VLOOKUP("箸",資材マスタ!$A$2:$C$10,3,FALSE),0)+IFERROR(VLOOKUP("ワサガード",資材マスタ!$A$2:$C$10,3,FALSE),0)+IFERROR(VLOOKUP("帯",資材マスタ!$A$2:$C$10,3,FALSE),0)+IFERROR(VLOOKUP("シーザードレッシング",資材マスタ!$A$2:$C$10,3,FALSE),0)+IFERROR(VLOOKUP("おしぼり",資材マスタ!$A$2:$C$10,3,FALSE),0)</f>
        <v/>
      </c>
      <c r="X26" s="20">
        <f>IFERROR(VLOOKUP(Q26,ソース定義マスタ!$A$2:$E$12,5,FALSE)*R26,0)+IFERROR(VLOOKUP(S26,ソース定義マスタ!$A$2:$E$12,5,FALSE)*T26,0)</f>
        <v/>
      </c>
      <c r="Y26" s="20">
        <f>IFERROR(VLOOKUP(P26,飲料マスタ!$A$2:$D$5,4,FALSE),0)</f>
        <v/>
      </c>
      <c r="Z26" s="22">
        <f>U26+V26+W26+X26+Y26</f>
        <v/>
      </c>
      <c r="AA26" s="20">
        <f>D26/1.08</f>
        <v/>
      </c>
      <c r="AB26" s="23">
        <f>IFERROR(Z26/AA26,0)</f>
        <v/>
      </c>
      <c r="AC26" s="23">
        <f>IFERROR(1-AB26,0)</f>
        <v/>
      </c>
    </row>
  </sheetData>
  <conditionalFormatting sqref="AB2:AB26">
    <cfRule type="cellIs" priority="1" operator="greaterThan" dxfId="0">
      <formula>0.45</formula>
    </cfRule>
    <cfRule type="cellIs" priority="2" operator="between" dxfId="1">
      <formula>0.35</formula>
      <formula>0.45</formula>
    </cfRule>
    <cfRule type="cellIs" priority="3" operator="lessThan" dxfId="2">
      <formula>0.25</formula>
    </cfRule>
  </conditionalFormatting>
  <conditionalFormatting sqref="AC2:AC26">
    <cfRule type="colorScale" priority="4">
      <colorScale>
        <cfvo type="num" val="0.4"/>
        <cfvo type="num" val="0.6"/>
        <cfvo type="num" val="0.8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8860B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 ht="38" customHeight="1">
      <c r="A1" s="24" t="inlineStr">
        <is>
          <t>Bistro Knocks 原価サマリー</t>
        </is>
      </c>
      <c r="B1" s="3" t="n"/>
      <c r="C1" s="3" t="n"/>
      <c r="D1" s="3" t="n"/>
    </row>
    <row r="3">
      <c r="A3" s="25" t="inlineStr">
        <is>
          <t>指標</t>
        </is>
      </c>
      <c r="B3" s="25" t="inlineStr">
        <is>
          <t>黒弁当</t>
        </is>
      </c>
      <c r="C3" s="25" t="inlineStr">
        <is>
          <t>新弁当</t>
        </is>
      </c>
      <c r="D3" s="25" t="inlineStr">
        <is>
          <t>全メニュー</t>
        </is>
      </c>
    </row>
    <row r="4">
      <c r="A4" s="26" t="inlineStr">
        <is>
          <t>平均販売価格（税込）</t>
        </is>
      </c>
      <c r="B4" s="27">
        <f>AVERAGEIF(メニューマスタ!C2:C26,"黒弁当",メニューマスタ!D2:D26)</f>
        <v/>
      </c>
      <c r="C4" s="27">
        <f>AVERAGEIF(メニューマスタ!C2:C26,"新弁当",メニューマスタ!D2:D26)</f>
        <v/>
      </c>
      <c r="D4" s="27">
        <f>AVERAGE(メニューマスタ!D2:D26)</f>
        <v/>
      </c>
    </row>
    <row r="5">
      <c r="A5" s="28" t="inlineStr">
        <is>
          <t>平均販売価格（税抜）</t>
        </is>
      </c>
      <c r="B5" s="29">
        <f>AVERAGEIFS(メニューマスタ!AA2:AA26,メニューマスタ!C2:C26,"黒弁当")</f>
        <v/>
      </c>
      <c r="C5" s="29">
        <f>AVERAGEIFS(メニューマスタ!AA2:AA26,メニューマスタ!C2:C26,"新弁当")</f>
        <v/>
      </c>
      <c r="D5" s="29">
        <f>AVERAGE(メニューマスタ!AA2:AA26)</f>
        <v/>
      </c>
    </row>
    <row r="6">
      <c r="A6" s="26" t="inlineStr">
        <is>
          <t>平均原価（税抜）</t>
        </is>
      </c>
      <c r="B6" s="27">
        <f>AVERAGEIF(メニューマスタ!C2:C26,"黒弁当",メニューマスタ!Z2:Z26)</f>
        <v/>
      </c>
      <c r="C6" s="27">
        <f>AVERAGEIF(メニューマスタ!C2:C26,"新弁当",メニューマスタ!Z2:Z26)</f>
        <v/>
      </c>
      <c r="D6" s="27">
        <f>AVERAGE(メニューマスタ!Z2:Z26)</f>
        <v/>
      </c>
    </row>
    <row r="7">
      <c r="A7" s="28" t="inlineStr">
        <is>
          <t>平均原価率</t>
        </is>
      </c>
      <c r="B7" s="30">
        <f>AVERAGEIF(メニューマスタ!C2:C26,"黒弁当",メニューマスタ!AB2:AB26)</f>
        <v/>
      </c>
      <c r="C7" s="30">
        <f>AVERAGEIF(メニューマスタ!C2:C26,"新弁当",メニューマスタ!AB2:AB26)</f>
        <v/>
      </c>
      <c r="D7" s="30">
        <f>AVERAGE(メニューマスタ!AB2:AB26)</f>
        <v/>
      </c>
    </row>
    <row r="8">
      <c r="A8" s="26" t="inlineStr">
        <is>
          <t>平均利益率</t>
        </is>
      </c>
      <c r="B8" s="31">
        <f>AVERAGEIF(メニューマスタ!C2:C26,"黒弁当",メニューマスタ!AC2:AC26)</f>
        <v/>
      </c>
      <c r="C8" s="31">
        <f>AVERAGEIF(メニューマスタ!C2:C26,"新弁当",メニューマスタ!AC2:AC26)</f>
        <v/>
      </c>
      <c r="D8" s="31">
        <f>AVERAGE(メニューマスタ!AC2:AC26)</f>
        <v/>
      </c>
    </row>
  </sheetData>
  <mergeCells count="1">
    <mergeCell ref="A1:D1"/>
  </mergeCells>
  <conditionalFormatting sqref="B7:D7">
    <cfRule type="cellIs" priority="1" operator="greaterThan" dxfId="0">
      <formula>0.45</formula>
    </cfRule>
    <cfRule type="cellIs" priority="2" operator="between" dxfId="1">
      <formula>0.35</formula>
      <formula>0.45</formula>
    </cfRule>
    <cfRule type="cellIs" priority="3" operator="lessThan" dxfId="2">
      <formula>0.25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2026-05-19T08:25:04Z</dcterms:created>
  <dcterms:modified xsi:type="dcterms:W3CDTF">2026-05-19T08:25:04Z</dcterms:modified>
</cp:coreProperties>
</file>